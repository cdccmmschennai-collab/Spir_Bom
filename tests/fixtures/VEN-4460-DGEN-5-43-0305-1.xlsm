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C:\Users\OVS0008C\Desktop\4460\SPIR\4460-Latest SPIRs-19022026\"/>
    </mc:Choice>
  </mc:AlternateContent>
  <xr:revisionPtr revIDLastSave="0" documentId="13_ncr:1_{298E62EB-7161-4BE7-A0B9-1BA63789DB14}" xr6:coauthVersionLast="47" xr6:coauthVersionMax="47" xr10:uidLastSave="{00000000-0000-0000-0000-000000000000}"/>
  <bookViews>
    <workbookView xWindow="-120" yWindow="-120" windowWidth="29040" windowHeight="15720" tabRatio="836" xr2:uid="{00000000-000D-0000-FFFF-FFFF00000000}"/>
  </bookViews>
  <sheets>
    <sheet name="Main Sheet-1" sheetId="2" r:id="rId1"/>
    <sheet name="Cont Sheet-1 " sheetId="4" r:id="rId2"/>
    <sheet name="Main sheet-2" sheetId="5" r:id="rId3"/>
    <sheet name="Main Sheet-3" sheetId="7" r:id="rId4"/>
    <sheet name="Cont Sheet -3" sheetId="10" r:id="rId5"/>
    <sheet name="Annexure -1 " sheetId="13" r:id="rId6"/>
    <sheet name="Annexure -2 " sheetId="14" r:id="rId7"/>
    <sheet name="Validation Lists" sheetId="3" state="hidden" r:id="rId8"/>
  </sheets>
  <externalReferences>
    <externalReference r:id="rId9"/>
  </externalReferences>
  <definedNames>
    <definedName name="_xlnm._FilterDatabase" localSheetId="5" hidden="1">'Annexure -1 '!$A$2:$N$2</definedName>
    <definedName name="_xlnm._FilterDatabase" localSheetId="6" hidden="1">'Annexure -2 '!$A$2:$N$17</definedName>
    <definedName name="_xlnm.Print_Area" localSheetId="5">'Annexure -1 '!$A$1:$N$350</definedName>
    <definedName name="_xlnm.Print_Area" localSheetId="6">'Annexure -2 '!$A$1:$N$17</definedName>
    <definedName name="_xlnm.Print_Area" localSheetId="4">'Cont Sheet -3'!$A$1:$M$20</definedName>
    <definedName name="_xlnm.Print_Area" localSheetId="1">'Cont Sheet-1 '!$A$1:$U$28</definedName>
    <definedName name="_xlnm.Print_Area" localSheetId="0">'Main Sheet-1'!$A$1:$AA$36</definedName>
    <definedName name="_xlnm.Print_Area" localSheetId="2">'Main sheet-2'!$A$1:$AA$36</definedName>
    <definedName name="_xlnm.Print_Area" localSheetId="3">'Main Sheet-3'!$A$1:$AA$36</definedName>
    <definedName name="_xlnm.Print_Titles" localSheetId="5">'Annexure -1 '!$2:$2</definedName>
    <definedName name="_xlnm.Print_Titles" localSheetId="6">'Annexure -2 '!$2:$2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33" i="13" l="1"/>
  <c r="N329" i="13"/>
  <c r="N326" i="13"/>
  <c r="N320" i="13"/>
  <c r="N316" i="13"/>
  <c r="N313" i="13"/>
  <c r="N311" i="13"/>
  <c r="N309" i="13"/>
  <c r="N308" i="13"/>
  <c r="N305" i="13"/>
  <c r="N298" i="13"/>
  <c r="N295" i="13"/>
  <c r="N294" i="13"/>
  <c r="N290" i="13"/>
  <c r="N284" i="13"/>
  <c r="N281" i="13"/>
  <c r="N280" i="13"/>
  <c r="N279" i="13"/>
  <c r="N273" i="13"/>
  <c r="N270" i="13"/>
  <c r="N262" i="13"/>
  <c r="N257" i="13"/>
  <c r="N255" i="13"/>
  <c r="N254" i="13"/>
  <c r="N246" i="13"/>
  <c r="N244" i="13"/>
  <c r="N242" i="13"/>
  <c r="N233" i="13"/>
  <c r="N231" i="13"/>
  <c r="N230" i="13"/>
  <c r="N229" i="13"/>
  <c r="N227" i="13"/>
  <c r="N226" i="13"/>
  <c r="N223" i="13"/>
  <c r="N222" i="13"/>
  <c r="N220" i="13"/>
  <c r="N219" i="13"/>
  <c r="N217" i="13"/>
  <c r="N210" i="13"/>
  <c r="N205" i="13"/>
  <c r="N190" i="13"/>
  <c r="N184" i="13"/>
  <c r="N183" i="13"/>
  <c r="N180" i="13"/>
  <c r="N177" i="13"/>
  <c r="N176" i="13"/>
  <c r="N175" i="13"/>
  <c r="N173" i="13"/>
  <c r="N149" i="13"/>
  <c r="N145" i="13"/>
  <c r="N142" i="13"/>
  <c r="N138" i="13"/>
  <c r="N136" i="13"/>
  <c r="N133" i="13"/>
  <c r="N131" i="13"/>
  <c r="N130" i="13"/>
  <c r="N102" i="13"/>
  <c r="N97" i="13"/>
  <c r="N96" i="13"/>
  <c r="N94" i="13"/>
  <c r="N90" i="13"/>
  <c r="N82" i="13"/>
  <c r="N81" i="13"/>
  <c r="N77" i="13"/>
  <c r="N76" i="13"/>
  <c r="N73" i="13"/>
  <c r="N72" i="13"/>
  <c r="N70" i="13"/>
  <c r="N67" i="13"/>
  <c r="N65" i="13"/>
  <c r="N63" i="13"/>
  <c r="N61" i="13"/>
  <c r="N60" i="13"/>
  <c r="N59" i="13"/>
  <c r="N58" i="13"/>
  <c r="N56" i="13"/>
  <c r="N55" i="13"/>
  <c r="N54" i="13"/>
  <c r="N53" i="13"/>
  <c r="N51" i="13"/>
  <c r="N50" i="13"/>
  <c r="N35" i="13"/>
  <c r="N31" i="13"/>
  <c r="N30" i="13"/>
  <c r="N12" i="13"/>
  <c r="N1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66560118-4364-4498-AC55-18987F27049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B6335D43-7ADD-4DD0-9D6D-CABFDF7D57E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EAED30D5-B2D5-469A-BD85-03D96DEA4FA8}">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5B2EE157-1A38-4824-B582-36705A71E95B}">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2BDCF142-EDEA-46F2-8E43-1B95F28D902F}">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52C1C916-12DD-4136-B098-8A1049567FB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sharedStrings.xml><?xml version="1.0" encoding="utf-8"?>
<sst xmlns="http://schemas.openxmlformats.org/spreadsheetml/2006/main" count="5725" uniqueCount="1831">
  <si>
    <t>EQUIPMENT  TAG No</t>
  </si>
  <si>
    <t>ANNEXURES-2</t>
  </si>
  <si>
    <t>ANNEXURES-1</t>
  </si>
  <si>
    <t xml:space="preserve">SPARE PARTS &amp; INTERCHANGEABILITY RECORD(SPIR)
</t>
  </si>
  <si>
    <t>Qatar Energy</t>
  </si>
  <si>
    <t>25 SPIR NUMBER:</t>
  </si>
  <si>
    <t xml:space="preserve">VEN-4460-DGEN-5-43-0305 </t>
  </si>
  <si>
    <r>
      <t xml:space="preserve">NOTE 1 </t>
    </r>
    <r>
      <rPr>
        <b/>
        <sz val="5"/>
        <color rgb="FFFF0000"/>
        <rFont val="Arial"/>
        <family val="2"/>
      </rPr>
      <t>-</t>
    </r>
    <r>
      <rPr>
        <sz val="5"/>
        <color rgb="FFFF0000"/>
        <rFont val="Arial"/>
        <family val="2"/>
      </rPr>
      <t xml:space="preserve">  IF AN ITEM IS INTERCHANGEABLE BETWEEN TWO OR MORE MODELS OR TYPES, LIST IT ONLY ONCE AS A LINE ITEM BUT    INDICATE AS SUCH IN   COLUMN 5 UNDER EACH MODEL/TYPE IN ROW 2.
</t>
    </r>
    <r>
      <rPr>
        <b/>
        <u/>
        <sz val="5"/>
        <color rgb="FFFF0000"/>
        <rFont val="Arial"/>
        <family val="2"/>
      </rPr>
      <t>NOTE 2</t>
    </r>
    <r>
      <rPr>
        <sz val="5"/>
        <color rgb="FFFF0000"/>
        <rFont val="Arial"/>
        <family val="2"/>
      </rPr>
      <t xml:space="preserve"> - QUOTE FULL UNIQUE MFR'S PART NUMBER.
</t>
    </r>
    <r>
      <rPr>
        <b/>
        <u/>
        <sz val="5"/>
        <color rgb="FFFF0000"/>
        <rFont val="Arial"/>
        <family val="2"/>
      </rPr>
      <t>NOTE 3</t>
    </r>
    <r>
      <rPr>
        <sz val="5"/>
        <color rgb="FFFF0000"/>
        <rFont val="Arial"/>
        <family val="2"/>
      </rPr>
      <t xml:space="preserve"> - QUOTE ORIGINAL MFR'S IDENTIFICATION NUMBER FOR BOUGHT OUT ITEMS SUCH AS BEARINGS, V-BELTS, MECHANICAL SEALS, COUPLINGS, FUSES, INSTRUMENTS, RELAYS, CONTACTORS, ETC.
</t>
    </r>
    <r>
      <rPr>
        <b/>
        <u/>
        <sz val="5"/>
        <color rgb="FFFF0000"/>
        <rFont val="Arial"/>
        <family val="2"/>
      </rPr>
      <t>NOTE 4</t>
    </r>
    <r>
      <rPr>
        <sz val="5"/>
        <color rgb="FFFF0000"/>
        <rFont val="Arial"/>
        <family val="2"/>
      </rPr>
      <t xml:space="preserve"> - QUOTE SUPPLIERS NAME, ADDRESS  AND OTHER RELEVANT DETAILS FOR ITEMS SHOWN IN COLUMN 10B . PROVIDE ADDITIONAL SUPPORTING DOCUMENTS LIKE  ENGINEERING DATA SHEET, CATALOGUE , ORDERING INFORMATION, NAME PLATE DETAILS ETC.
</t>
    </r>
    <r>
      <rPr>
        <b/>
        <u/>
        <sz val="5"/>
        <color rgb="FFFF0000"/>
        <rFont val="Arial"/>
        <family val="2"/>
      </rPr>
      <t>NOTE 5</t>
    </r>
    <r>
      <rPr>
        <b/>
        <sz val="5"/>
        <color rgb="FFFF0000"/>
        <rFont val="Arial"/>
        <family val="2"/>
      </rPr>
      <t xml:space="preserve"> -</t>
    </r>
    <r>
      <rPr>
        <sz val="5"/>
        <color rgb="FFFF0000"/>
        <rFont val="Arial"/>
        <family val="2"/>
      </rPr>
      <t xml:space="preserve"> COL 1 THRO' 13, 15, 17, 18, 20 &amp; 22 TO BE COMPLETED BY THE MFR/SUPPLIER IN ACCORDANCE WITH GUIDE TO COMPLETION.
</t>
    </r>
    <r>
      <rPr>
        <b/>
        <u/>
        <sz val="5"/>
        <color rgb="FFFF0000"/>
        <rFont val="Arial"/>
        <family val="2"/>
      </rPr>
      <t>NOTE 6</t>
    </r>
    <r>
      <rPr>
        <sz val="5"/>
        <color rgb="FFFF0000"/>
        <rFont val="Arial"/>
        <family val="2"/>
      </rPr>
      <t xml:space="preserve"> - FIELDS HIGHLIGHTED IN YELLOW ARE MANDATORY</t>
    </r>
  </si>
  <si>
    <t>23 - AUTHORITY BLOCK.</t>
  </si>
  <si>
    <t>QUANTITIES IN COL:……….  ARE AUTHORISED FOR PURCHASE BY:-</t>
  </si>
  <si>
    <t>EQUIPMENT:</t>
  </si>
  <si>
    <t>BALL, GATE, GLOBE VALVES</t>
  </si>
  <si>
    <t>REF INDICATOR DATE &amp; SIGN'RE:</t>
  </si>
  <si>
    <r>
      <t>MANUFACTURER</t>
    </r>
    <r>
      <rPr>
        <sz val="8"/>
        <color indexed="10"/>
        <rFont val="Arial"/>
        <family val="2"/>
      </rPr>
      <t>:</t>
    </r>
  </si>
  <si>
    <t>JC VALVES</t>
  </si>
  <si>
    <t>MFR TYPE OR MODEL NUMBER</t>
  </si>
  <si>
    <t>24 - REQUIRED ON SITE DATE:-</t>
  </si>
  <si>
    <r>
      <t>SUPPLIER</t>
    </r>
    <r>
      <rPr>
        <sz val="8"/>
        <color indexed="10"/>
        <rFont val="Arial"/>
        <family val="2"/>
      </rPr>
      <t>:</t>
    </r>
  </si>
  <si>
    <t xml:space="preserve">JC VALVES </t>
  </si>
  <si>
    <t xml:space="preserve"> </t>
  </si>
  <si>
    <t>MANUFACTURERS/SUPPLIERS DATA (see note 5)</t>
  </si>
  <si>
    <t>INITIAL SPARE PARTS</t>
  </si>
  <si>
    <t>SPARE PARTS FOR NORMAL OPERATION</t>
  </si>
  <si>
    <r>
      <t xml:space="preserve"> </t>
    </r>
    <r>
      <rPr>
        <b/>
        <u/>
        <sz val="8"/>
        <color indexed="48"/>
        <rFont val="Desdemona"/>
      </rPr>
      <t>PROPOSAL NUMBER</t>
    </r>
  </si>
  <si>
    <t>MFR SER'L NO.</t>
  </si>
  <si>
    <t>ITEM NUMBER</t>
  </si>
  <si>
    <t>TOTAL NO. OF IDENTICAL PARTS FITTED</t>
  </si>
  <si>
    <t>DESCRIPTION OF PARTS             (SEE NOTE 1)</t>
  </si>
  <si>
    <t>DWG No. INCL POS'N No.</t>
  </si>
  <si>
    <t>MANUFACTURER PART NUMBER    (SEE NOTE 2)</t>
  </si>
  <si>
    <t>SUPPLIERS PART NUMBER           (SEE NOTE 3)</t>
  </si>
  <si>
    <t xml:space="preserve">MATERIAL SPEC'N  </t>
  </si>
  <si>
    <t>MATERIAL CERTIFICATION</t>
  </si>
  <si>
    <t>SUPPLIER/OCM NAME</t>
  </si>
  <si>
    <r>
      <t xml:space="preserve">SUPPORTING DOCUMENTS
</t>
    </r>
    <r>
      <rPr>
        <sz val="3"/>
        <color rgb="FFFF0000"/>
        <rFont val="Arial"/>
        <family val="2"/>
      </rPr>
      <t>(ATTACHMENTS ONLY)</t>
    </r>
  </si>
  <si>
    <t xml:space="preserve"> RECOMMENDED BY .MANUFACTURER</t>
  </si>
  <si>
    <t xml:space="preserve">  RECOMMENDED  .BY:…..</t>
  </si>
  <si>
    <t xml:space="preserve">  RECOMMENDED .BY:…..</t>
  </si>
  <si>
    <t>CURRENCY</t>
  </si>
  <si>
    <t>UNIT PRICE</t>
  </si>
  <si>
    <t>DELIVERY TIME IN WEEKS</t>
  </si>
  <si>
    <t>MIN/MAX STOCK LVLS QTY</t>
  </si>
  <si>
    <t>UNIT  OF MEASURE</t>
  </si>
  <si>
    <t>SAP NUMBER</t>
  </si>
  <si>
    <t>CLASSIFICATION OF PARTS</t>
  </si>
  <si>
    <t>No. OF UNITS</t>
  </si>
  <si>
    <t>10A</t>
  </si>
  <si>
    <t>10B</t>
  </si>
  <si>
    <t>11A</t>
  </si>
  <si>
    <t>11B</t>
  </si>
  <si>
    <t>12A</t>
  </si>
  <si>
    <t>12B</t>
  </si>
  <si>
    <t>No.  Of   Parts  per   Unit</t>
  </si>
  <si>
    <t>COMPLETE VALVE-FLOATING BALL VALVE  1" x 3/4" CLASS-300 RB RF</t>
  </si>
  <si>
    <t>ORD-21884-002-1</t>
  </si>
  <si>
    <t>ORD-21884-10-CV</t>
  </si>
  <si>
    <t>AS PER GAD</t>
  </si>
  <si>
    <t xml:space="preserve">M31 - Insp Cert BSEN 10204 type 3.1/ISO 10474 Type 3.1 </t>
  </si>
  <si>
    <t>USD - United States Dollar</t>
  </si>
  <si>
    <t>NO - NUMBERS</t>
  </si>
  <si>
    <t>C - Stock</t>
  </si>
  <si>
    <t>GASKET-FLOATING BALL VALVE  3" x 2" CLASS-150 RB RF</t>
  </si>
  <si>
    <t>ORD-21884-002-2 (POS.7)</t>
  </si>
  <si>
    <t>ORD-21884-20-GT-7</t>
  </si>
  <si>
    <t>GRAPHITE+UNS S32760</t>
  </si>
  <si>
    <t xml:space="preserve">T22  - Test report BSEN10204/ISO10474 2.2      </t>
  </si>
  <si>
    <t>PC - PIECE</t>
  </si>
  <si>
    <t>O RING-FLOATING BALL VALVE  3" x 2" CLASS-150 RB RF</t>
  </si>
  <si>
    <t>ORD-21884-002-2 (POS.8)</t>
  </si>
  <si>
    <t>ORD-21884-20-OR-8</t>
  </si>
  <si>
    <t>VITON AED</t>
  </si>
  <si>
    <t xml:space="preserve">XXXX - No Certificate control                  </t>
  </si>
  <si>
    <t>PACKING-FLOATING BALL VALVE  3" x 2" CLASS-150 RB RF</t>
  </si>
  <si>
    <t>ORD-21884-002-2 (POS.11)</t>
  </si>
  <si>
    <t>ORD-21884-20-PG-11</t>
  </si>
  <si>
    <t>GRAPHITE+C.I</t>
  </si>
  <si>
    <t>BODY SEAL-FLOATING BALL VALVE  3" x 2" CLASS-150 RB RF</t>
  </si>
  <si>
    <t>ORD-21884-002-2 (POS.15)</t>
  </si>
  <si>
    <t>ORD-21884-20-BS-15</t>
  </si>
  <si>
    <t>PTFE</t>
  </si>
  <si>
    <t>SET - SET</t>
  </si>
  <si>
    <t>COMPLETE VALVE-FLOATING BALL VALVE  3" x 2" CLASS-150 RB RF</t>
  </si>
  <si>
    <t>ORD-21884-002-2</t>
  </si>
  <si>
    <t>ORD-21884-20-CV</t>
  </si>
  <si>
    <t>ORD-21884-002-3</t>
  </si>
  <si>
    <t>ORD-21884-30-CV</t>
  </si>
  <si>
    <t>COMPLETE VALVE-FLOATING BALL VALVE 1" CLASS-150 RB RF</t>
  </si>
  <si>
    <t>ORD-22205-002-1</t>
  </si>
  <si>
    <t>ORD-22205-10-CV</t>
  </si>
  <si>
    <t>COMPLETE VALVE-FLOATING BALL VALVE 2" CLASS-150 RB RF</t>
  </si>
  <si>
    <t>ORD-22205-20-CV</t>
  </si>
  <si>
    <t>GASKET-FLOATING BALL VALVE 3" CLASS-150 RB RF</t>
  </si>
  <si>
    <t>ORD-22205-002-1 (POS.7)</t>
  </si>
  <si>
    <t>ORD-22205-30-GT-7</t>
  </si>
  <si>
    <t>SS316+GRAPHITE</t>
  </si>
  <si>
    <t>O RING-FLOATING BALL VALVE 3" CLASS-150 RB RF</t>
  </si>
  <si>
    <t>ORD-22205-002-1 (POS.8,14)</t>
  </si>
  <si>
    <t>ORD-22205-30-OR-8,14</t>
  </si>
  <si>
    <t>PCKING-FLOATING BALL VALVE 3" CLASS-150 RB RF</t>
  </si>
  <si>
    <t>ORD-22205-002-1 (POS.11)</t>
  </si>
  <si>
    <t>ORD-22205-30-PG-11</t>
  </si>
  <si>
    <t>COMPLETE VALVE-FLOATING BALL VALVE 3" CLASS-150 RB RF</t>
  </si>
  <si>
    <t>ORD-22205-30-CV</t>
  </si>
  <si>
    <t xml:space="preserve">COMPLETE VALVE-FLOATING BALL VALVE 1" CLASS-1500 RB RF </t>
  </si>
  <si>
    <t>ORD-22205-002-2</t>
  </si>
  <si>
    <t>ORD-22205-40-CV</t>
  </si>
  <si>
    <t xml:space="preserve">COMPLETE VALVE-FLOATING BALL VALVE 1 1/2" CLASS-1500 RB RF </t>
  </si>
  <si>
    <t>ORD-22205-50-CV</t>
  </si>
  <si>
    <t xml:space="preserve">COMPLETE VALVE-FLOATING BALL VALVE 2" x 1-1/2"CLASS-1500 RB RF </t>
  </si>
  <si>
    <t>ORD-22205-002-3</t>
  </si>
  <si>
    <t>ORD-22205-60-CV</t>
  </si>
  <si>
    <t>COMPLETE VALVE-FLOATING BALL VALVE   2" x 1-1/2" CLASS-300 RB RF</t>
  </si>
  <si>
    <t>ORD-22205-002-4</t>
  </si>
  <si>
    <t>ORD-22205-70-CV</t>
  </si>
  <si>
    <t>COMPLETE VALVE-FLOATING BALL VALVE  1" x 3/4" CLASS-1500 RB RF</t>
  </si>
  <si>
    <t>ORD-22205-002-5</t>
  </si>
  <si>
    <t>ORD-22205-80-CV</t>
  </si>
  <si>
    <t xml:space="preserve">COMPLETE VALVE-FLOATING BALL VALVE 1" CLASS-300 RB RF </t>
  </si>
  <si>
    <t>ORD-22205-002-6</t>
  </si>
  <si>
    <t>ORD-22205-100-CV</t>
  </si>
  <si>
    <t xml:space="preserve">GASKET-FLOATING BALL VALVE 3" CLASS-300 RB RF </t>
  </si>
  <si>
    <t>ORD-22205-002-6 (POS.7)</t>
  </si>
  <si>
    <t>ORD-22205-90-GT-7</t>
  </si>
  <si>
    <t>GRAPHITE+SS316</t>
  </si>
  <si>
    <t xml:space="preserve">PACKING-FLOATING BALL VALVE 3" CLASS-300 RB RF </t>
  </si>
  <si>
    <t>ORD-22205-002-6 (POS.11)</t>
  </si>
  <si>
    <t>ORD-22205-90-PG-11</t>
  </si>
  <si>
    <t>Graphite</t>
  </si>
  <si>
    <t xml:space="preserve">FIRE SAFE RING-FLOATING BALL VALVE 3" CLASS-300 RB RF </t>
  </si>
  <si>
    <t>ORD-22205-002-6 (POS.16)</t>
  </si>
  <si>
    <t>ORD-22205-90-FSR-16</t>
  </si>
  <si>
    <t xml:space="preserve">COMPLETE VALVE-FLOATING BALL VALVE 3" CLASS-300 RB RF </t>
  </si>
  <si>
    <t xml:space="preserve">ORD-22205-002-6 </t>
  </si>
  <si>
    <t>ORD-22205-90-CV</t>
  </si>
  <si>
    <t>COMPLETE VALVE-FLOATING BALL VALVE  1/2" CLASS-800 RB FNPT</t>
  </si>
  <si>
    <t>ORD-22205-002-11</t>
  </si>
  <si>
    <t>ORD-22205-150-CV</t>
  </si>
  <si>
    <t xml:space="preserve"> EQUIP  ORDER PER NO. </t>
  </si>
  <si>
    <t>PO4500108527
PO4500110453</t>
  </si>
  <si>
    <t xml:space="preserve">MANUFACTURERS/SUPPLIERS FOCAL POINT INCLUDING   
E-MAIL/ TEL/FAX NO: ronald@jcvalves.ae / (+974) 3015 4019 </t>
  </si>
  <si>
    <t>Field 11B – inspection certificate requirement for single or multiple certificates of respective material to be selected from list of certificates</t>
  </si>
  <si>
    <t>ISSUE LETTER:</t>
  </si>
  <si>
    <t>COMPANY           : QATAR ENERGY</t>
  </si>
  <si>
    <t xml:space="preserve">MANUFACTURER :  
Contact Person:   Mr.Ronald M
</t>
  </si>
  <si>
    <t>ISSUE DATE:</t>
  </si>
  <si>
    <t>ENGINEERING BY:  JC Fábrica de válvulas, s.a.</t>
  </si>
  <si>
    <t>SIGNATURE:</t>
  </si>
  <si>
    <t>ARUN</t>
  </si>
  <si>
    <r>
      <t>REMINDER</t>
    </r>
    <r>
      <rPr>
        <sz val="6.5"/>
        <color indexed="32"/>
        <rFont val="Small Fonts"/>
        <family val="2"/>
      </rPr>
      <t xml:space="preserve">  MANUFACTURER TO ATTACH TO THIS FORM ALL DRAWINGS AND PARTS LISTS INCLUDING</t>
    </r>
  </si>
  <si>
    <t xml:space="preserve">SHEET No: </t>
  </si>
  <si>
    <t>OF</t>
  </si>
  <si>
    <t>TECHNICAL DATA SHEETS TO ENABLE CORRECT IDENTIFICATION OF THE MATERIAL</t>
  </si>
  <si>
    <t>REQUISITION No:</t>
  </si>
  <si>
    <t>EQUIP'T  OR TAG NO.</t>
  </si>
  <si>
    <t>SPIR NUMBER:</t>
  </si>
  <si>
    <r>
      <t>MANUFACTURER</t>
    </r>
    <r>
      <rPr>
        <sz val="10"/>
        <color indexed="10"/>
        <rFont val="Arial"/>
        <family val="2"/>
      </rPr>
      <t>:</t>
    </r>
  </si>
  <si>
    <t xml:space="preserve">   MFR    TYPE OR MODEL  NO.</t>
  </si>
  <si>
    <t>Fig. 801</t>
  </si>
  <si>
    <r>
      <t>SUPPLIER</t>
    </r>
    <r>
      <rPr>
        <sz val="10"/>
        <color indexed="10"/>
        <rFont val="Arial"/>
        <family val="2"/>
      </rPr>
      <t>:</t>
    </r>
  </si>
  <si>
    <t>MFR SER NO.</t>
  </si>
  <si>
    <t>REMARKS</t>
  </si>
  <si>
    <t xml:space="preserve">No. OF PARTS PER UNIT </t>
  </si>
  <si>
    <t xml:space="preserve"> EQUIP ORDER REF NO. </t>
  </si>
  <si>
    <r>
      <t>QatarEnergy</t>
    </r>
    <r>
      <rPr>
        <b/>
        <sz val="8"/>
        <color indexed="10"/>
        <rFont val="Lucida Handwriting"/>
        <family val="4"/>
      </rPr>
      <t xml:space="preserve"> - </t>
    </r>
    <r>
      <rPr>
        <b/>
        <sz val="8"/>
        <color indexed="50"/>
        <rFont val="Lucida Handwriting"/>
        <family val="4"/>
      </rPr>
      <t>SPARE PARTS LIST &amp; INTERCHANGEABILITY RECORD CONTINUATION SHEET</t>
    </r>
  </si>
  <si>
    <t xml:space="preserve">FIRE SAFE SEAL-TMBV 3" x 2" CLASS-900 RB RF </t>
  </si>
  <si>
    <t>ORD-22205-002-7 (POS.13)</t>
  </si>
  <si>
    <t>ORD-22205-110-FSS-13</t>
  </si>
  <si>
    <t>SS316+Graphite</t>
  </si>
  <si>
    <t>ORD-22205-002-7 (POS.14)</t>
  </si>
  <si>
    <t>ORD-22205-110-FSS-14</t>
  </si>
  <si>
    <t>ORD-22205-002-7 (POS.15)</t>
  </si>
  <si>
    <t>ORD-22205-110-FSS-15</t>
  </si>
  <si>
    <t>Graphite+C.I</t>
  </si>
  <si>
    <t>ORD-22205-002-7 (POS.16,17,18,19)</t>
  </si>
  <si>
    <t>ORD-22205-110-OR-16,17,18,19</t>
  </si>
  <si>
    <t xml:space="preserve">VITON AED </t>
  </si>
  <si>
    <t>ORD-22205-002-7 (POS.30)</t>
  </si>
  <si>
    <t>ORD-22205-110-FSS-30</t>
  </si>
  <si>
    <t xml:space="preserve">COMPLETE VALVE-TMBV 3" x 2" CLASS-900 RB RF </t>
  </si>
  <si>
    <t>ORD-22205-002-7</t>
  </si>
  <si>
    <t>ORD-22205-110-CV</t>
  </si>
  <si>
    <t xml:space="preserve">FIRE SAFE SEAL-TMBV 6"  x 4" CLASS-900 RB RF </t>
  </si>
  <si>
    <t>ORD-22205-002-8 (POS.13)</t>
  </si>
  <si>
    <t>ORD-22205-120-FSS-13</t>
  </si>
  <si>
    <t>ORD-22205-002-8 (POS.14)</t>
  </si>
  <si>
    <t>ORD-22205-120-FSS-14</t>
  </si>
  <si>
    <t>ORD-22205-002-8 (POS.15)</t>
  </si>
  <si>
    <t>ORD-22205-120-FSS-15</t>
  </si>
  <si>
    <t>ORD-22205-002-8 (POS.16,17,18,19)</t>
  </si>
  <si>
    <t>ORD-22205-120-OR-16,17,18,19</t>
  </si>
  <si>
    <t>ORD-22205-002-8 (POS.30)</t>
  </si>
  <si>
    <t>ORD-22205-120-FSS-30</t>
  </si>
  <si>
    <t xml:space="preserve">COMPLETE VALVE-TMBV 6"  x 4" CLASS-900 RB RF </t>
  </si>
  <si>
    <t>ORD-22205-002-8</t>
  </si>
  <si>
    <t>ORD-22205-120-CV</t>
  </si>
  <si>
    <t>FIRE SAFE SEAL-TMBV  8"  x 6" CLASS-900 RB RF</t>
  </si>
  <si>
    <t>ORD-22205-002-9 (POS.13)</t>
  </si>
  <si>
    <t>ORD-22205-130-FSS-13</t>
  </si>
  <si>
    <t>ORD-22205-002-9 (POS.14)</t>
  </si>
  <si>
    <t>ORD-22205-130-FSS-14</t>
  </si>
  <si>
    <t>ORD-22205-002-9 (POS.15)</t>
  </si>
  <si>
    <t>ORD-22205-130-FSS-15</t>
  </si>
  <si>
    <t>ORD-22205-002-9 (POS.16,17,18,19)</t>
  </si>
  <si>
    <t>ORD-22205-130-OR-16,17,18,19</t>
  </si>
  <si>
    <t>ORD-22205-002-9 (POS.30)</t>
  </si>
  <si>
    <t>ORD-22205-130-FSS-30</t>
  </si>
  <si>
    <t>COMPLETE VALVE-TMBV  8"  x 6" CLASS-900 RB RF</t>
  </si>
  <si>
    <t>ORD-22205-002-9</t>
  </si>
  <si>
    <t>ORD-22205-130-CV</t>
  </si>
  <si>
    <t>FIRE SAFE SEAL-TMBV  10" x 8" CLASS-900 RB RF</t>
  </si>
  <si>
    <t>ORD-22205-002-10 (POS.13)</t>
  </si>
  <si>
    <t>ORD-22205-140-FSS-13</t>
  </si>
  <si>
    <t>ORD-22205-002-10 (POS.14)</t>
  </si>
  <si>
    <t>ORD-22205-140-FSS-14</t>
  </si>
  <si>
    <t>ORD-22205-002-10 (POS.15)</t>
  </si>
  <si>
    <t>ORD-22205-140-FSS-15</t>
  </si>
  <si>
    <t>ORD-22205-002-10 (POS.16,17,18,19)</t>
  </si>
  <si>
    <t>ORD-22205-140-OR-16,17,18,19</t>
  </si>
  <si>
    <t>ORD-22205-002-10 (POS.30)</t>
  </si>
  <si>
    <t>ORD-22205-140-FSS-30</t>
  </si>
  <si>
    <t>COMPLETE VALVE-TMBV  10" x 8" CLASS-900 RB RF</t>
  </si>
  <si>
    <t>ORD-22205-002-10</t>
  </si>
  <si>
    <t>ORD-22205-140-CV</t>
  </si>
  <si>
    <t>PO4500110453</t>
  </si>
  <si>
    <t>VC300BB</t>
  </si>
  <si>
    <t>COMPLETE VALVE-FLOATING BALL VALVE   1" CLASS-800 RB  FNPT</t>
  </si>
  <si>
    <t>ORD-22205-002-12</t>
  </si>
  <si>
    <t>ORD-22205-160-CV</t>
  </si>
  <si>
    <t>ORD-22205-002-13 (POS.10)</t>
  </si>
  <si>
    <t>ORD-22205-170-SP-10</t>
  </si>
  <si>
    <t>Flexible Graphite</t>
  </si>
  <si>
    <t>COMPLETE VALVE-GATE VALVE NPS 6" CLASS 900 RF</t>
  </si>
  <si>
    <t>ORD-22205-002-13</t>
  </si>
  <si>
    <t>ORD-22205-170-CV</t>
  </si>
  <si>
    <t>ORD-22205-180-SP-10</t>
  </si>
  <si>
    <t>COMPLETE VALVE-GATE VALVE NPS 8"  CLASS 900 RF</t>
  </si>
  <si>
    <t>ORD-22205-180-CV</t>
  </si>
  <si>
    <t>ORD-22205-190-SP-10</t>
  </si>
  <si>
    <t>COMPLETE VALVE-GATE VALVE NPS 10" CLASS 900 RF</t>
  </si>
  <si>
    <t>ORD-22205-190-CV</t>
  </si>
  <si>
    <t>STEM PACKING-GATE VALVE NPS 14" CLASS 900 RF</t>
  </si>
  <si>
    <t>ORD-22205-200-SP-10</t>
  </si>
  <si>
    <t>COMPLETE VALVE-GATE VALVE NPS 14" CLASS 900 RF</t>
  </si>
  <si>
    <t>ORD-22205-200-CV</t>
  </si>
  <si>
    <t>GASKET-GATE VALVE NPS 6" CLASS 300 RF</t>
  </si>
  <si>
    <t>ORD-22205-002-14 (POS.5)</t>
  </si>
  <si>
    <t>ORD-22205-210-GT-5</t>
  </si>
  <si>
    <t>SS316+Flexible Graphite</t>
  </si>
  <si>
    <t>STEM PACKING-GATE VALVE NPS 6" CLASS 300 RF</t>
  </si>
  <si>
    <t>COMPLETE VALVE-GATE VALVE NPS 6" CLASS 300 RF</t>
  </si>
  <si>
    <t>ORD-22205-002-14</t>
  </si>
  <si>
    <t>ORD-22205-210-CV</t>
  </si>
  <si>
    <t>GASKET-GLOBE VALVE NPS 4" CLASS 300 RF</t>
  </si>
  <si>
    <t>ORD-22205-002-15 (POS.8)</t>
  </si>
  <si>
    <t>ORD-22205-220-GT-8</t>
  </si>
  <si>
    <t>STEM PACKING-GLOBE VALVE NPS 4" CLASS 300 RF</t>
  </si>
  <si>
    <t>ORD-22205-002-15 (POS.11)</t>
  </si>
  <si>
    <t>ORD-22205-220-SPG-11</t>
  </si>
  <si>
    <t>COMPLETE VALVE-GLOBE VALVE NPS 4" CLASS 300 RF</t>
  </si>
  <si>
    <t>ORD-22205-002-15</t>
  </si>
  <si>
    <t>ORD-22205-220-CV</t>
  </si>
  <si>
    <t>PO4500110453
PO4500108527</t>
  </si>
  <si>
    <t>VG300BB</t>
  </si>
  <si>
    <t>PO4500108527</t>
  </si>
  <si>
    <t>ANNEXURES (Customer PO : 4500110453 : JC So : ORD022205) - - -347</t>
  </si>
  <si>
    <t>Item No</t>
  </si>
  <si>
    <t>Vendor</t>
  </si>
  <si>
    <t xml:space="preserve">PO Number </t>
  </si>
  <si>
    <t>MESC NO.</t>
  </si>
  <si>
    <t>Type</t>
  </si>
  <si>
    <t>Size</t>
  </si>
  <si>
    <t>Bore</t>
  </si>
  <si>
    <t>Class</t>
  </si>
  <si>
    <t>Ends</t>
  </si>
  <si>
    <t>Body, Bonnet</t>
  </si>
  <si>
    <t xml:space="preserve">Serial Number </t>
  </si>
  <si>
    <t xml:space="preserve">QTY </t>
  </si>
  <si>
    <t>Tag No</t>
  </si>
  <si>
    <t xml:space="preserve">JC-Valves </t>
  </si>
  <si>
    <t>Floating Ball Valve</t>
  </si>
  <si>
    <t>1"X3/4”</t>
  </si>
  <si>
    <t>RB</t>
  </si>
  <si>
    <t>150#</t>
  </si>
  <si>
    <t>RF</t>
  </si>
  <si>
    <t>A105N</t>
  </si>
  <si>
    <t>21736-10-1</t>
  </si>
  <si>
    <t>NA</t>
  </si>
  <si>
    <t>21736-10-2</t>
  </si>
  <si>
    <t>21736-10-3</t>
  </si>
  <si>
    <t>21736-10-4</t>
  </si>
  <si>
    <t>2"X1-1/2"</t>
  </si>
  <si>
    <t>2136-20-1</t>
  </si>
  <si>
    <t>2136-20-2</t>
  </si>
  <si>
    <t>2136-20-3</t>
  </si>
  <si>
    <t>2136-20-4</t>
  </si>
  <si>
    <t>3"X2"</t>
  </si>
  <si>
    <t>21736-30-1</t>
  </si>
  <si>
    <t>21736-30-2</t>
  </si>
  <si>
    <t>1500#</t>
  </si>
  <si>
    <t>21736-40-1</t>
  </si>
  <si>
    <t>21736-40-2</t>
  </si>
  <si>
    <t>21736-40-3</t>
  </si>
  <si>
    <t>21736-40-4</t>
  </si>
  <si>
    <t>1-1/2"X1"</t>
  </si>
  <si>
    <t>21736-50-1</t>
  </si>
  <si>
    <t>21736-50-2</t>
  </si>
  <si>
    <t>21736-50-3</t>
  </si>
  <si>
    <t>21736-50-4</t>
  </si>
  <si>
    <t>21736-50-5</t>
  </si>
  <si>
    <t>21736-50-6</t>
  </si>
  <si>
    <t>21736-50-7</t>
  </si>
  <si>
    <t>21736-60-1</t>
  </si>
  <si>
    <t>21736-60-2</t>
  </si>
  <si>
    <t>21736-60-3</t>
  </si>
  <si>
    <t>21736-60-4</t>
  </si>
  <si>
    <t>300#</t>
  </si>
  <si>
    <t>21736-70-1</t>
  </si>
  <si>
    <t>21736-70-2</t>
  </si>
  <si>
    <t xml:space="preserve">A350 Gr.LF2 </t>
  </si>
  <si>
    <t>21736-80-1</t>
  </si>
  <si>
    <t>21736-80-2</t>
  </si>
  <si>
    <t>21736-80-3</t>
  </si>
  <si>
    <t>21736-80-4</t>
  </si>
  <si>
    <t>21736-80-5</t>
  </si>
  <si>
    <t>21736-80-6</t>
  </si>
  <si>
    <t>21736-80-7</t>
  </si>
  <si>
    <t>21736-80-8</t>
  </si>
  <si>
    <t>21736-80-9</t>
  </si>
  <si>
    <t>21736-80-10</t>
  </si>
  <si>
    <t>21736-80-11</t>
  </si>
  <si>
    <t>21736-80-12</t>
  </si>
  <si>
    <t>21736-80-13</t>
  </si>
  <si>
    <t>21736-80-14</t>
  </si>
  <si>
    <t>21736-80-15</t>
  </si>
  <si>
    <t>21736-80-16</t>
  </si>
  <si>
    <t>21736-80-17</t>
  </si>
  <si>
    <t>21736-80-18</t>
  </si>
  <si>
    <t>21736-80-19</t>
  </si>
  <si>
    <t>21736-80-20</t>
  </si>
  <si>
    <t>21736-80-21</t>
  </si>
  <si>
    <t>21736-80-22</t>
  </si>
  <si>
    <t>21736-80-23</t>
  </si>
  <si>
    <t>21736-80-24</t>
  </si>
  <si>
    <t>21736-80-25</t>
  </si>
  <si>
    <t>21736-80-26</t>
  </si>
  <si>
    <t>21736-80-27</t>
  </si>
  <si>
    <t>21736-80-28</t>
  </si>
  <si>
    <t>21736-80-29</t>
  </si>
  <si>
    <t>21736-80-30</t>
  </si>
  <si>
    <t>21736-80-31</t>
  </si>
  <si>
    <t>21736-80-32</t>
  </si>
  <si>
    <t>21736-80-33</t>
  </si>
  <si>
    <t>21736-80-34</t>
  </si>
  <si>
    <t>21736-80-35</t>
  </si>
  <si>
    <t>21736-80-36</t>
  </si>
  <si>
    <t>21736-80-37</t>
  </si>
  <si>
    <t>21736-80-38</t>
  </si>
  <si>
    <t>21736-80-39</t>
  </si>
  <si>
    <t>21736-80-40</t>
  </si>
  <si>
    <t>21736-80-41</t>
  </si>
  <si>
    <t>21736-80-42</t>
  </si>
  <si>
    <t>21736-80-43</t>
  </si>
  <si>
    <t>21736-80-44</t>
  </si>
  <si>
    <t>21736-80-45</t>
  </si>
  <si>
    <t>21736-80-46</t>
  </si>
  <si>
    <t>21736-80-47</t>
  </si>
  <si>
    <t>21736-80-48</t>
  </si>
  <si>
    <t>21736-80-49</t>
  </si>
  <si>
    <t>21736-80-50</t>
  </si>
  <si>
    <t>21736-80-51</t>
  </si>
  <si>
    <t>21736-80-52</t>
  </si>
  <si>
    <t>21736-80-53</t>
  </si>
  <si>
    <t>21736-80-54</t>
  </si>
  <si>
    <t>21736-80-55</t>
  </si>
  <si>
    <t>21736-80-56</t>
  </si>
  <si>
    <t>21736-80-57</t>
  </si>
  <si>
    <t>21736-80-58</t>
  </si>
  <si>
    <t>21736-80-59</t>
  </si>
  <si>
    <t>21736-80-60</t>
  </si>
  <si>
    <t>21736-80-61</t>
  </si>
  <si>
    <t>21736-80-62</t>
  </si>
  <si>
    <t>21736-80-63</t>
  </si>
  <si>
    <t>21736-80-64</t>
  </si>
  <si>
    <t>21736-80-65</t>
  </si>
  <si>
    <t>21736-80-66</t>
  </si>
  <si>
    <t>21736-80-67</t>
  </si>
  <si>
    <t>21736-80-68</t>
  </si>
  <si>
    <t>21736-80-69</t>
  </si>
  <si>
    <t>21736-80-70</t>
  </si>
  <si>
    <t>21736-80-71</t>
  </si>
  <si>
    <t>21736-80-72</t>
  </si>
  <si>
    <t>21736-80-73</t>
  </si>
  <si>
    <t>21736-80-74</t>
  </si>
  <si>
    <t>21736-80-75</t>
  </si>
  <si>
    <t>21736-80-76</t>
  </si>
  <si>
    <t>21736-80-77</t>
  </si>
  <si>
    <t>21736-80-78</t>
  </si>
  <si>
    <t>21736-80-79</t>
  </si>
  <si>
    <t>21736-80-80</t>
  </si>
  <si>
    <t>21736-80-81</t>
  </si>
  <si>
    <t>21736-80-82</t>
  </si>
  <si>
    <t>21736-80-83</t>
  </si>
  <si>
    <t>21736-80-84</t>
  </si>
  <si>
    <t>21736-80-85</t>
  </si>
  <si>
    <t>21736-80-86</t>
  </si>
  <si>
    <t>21736-80-87</t>
  </si>
  <si>
    <t>21736-80-88</t>
  </si>
  <si>
    <t>21736-80-89</t>
  </si>
  <si>
    <t>21736-80-90</t>
  </si>
  <si>
    <t>21736-80-91</t>
  </si>
  <si>
    <t>21736-80-92</t>
  </si>
  <si>
    <t>21736-80-93</t>
  </si>
  <si>
    <t>21736-80-94</t>
  </si>
  <si>
    <t>21736-80-95</t>
  </si>
  <si>
    <t>21736-80-96</t>
  </si>
  <si>
    <t>21736-80-97</t>
  </si>
  <si>
    <t>21736-80-98</t>
  </si>
  <si>
    <t>21736-80-99</t>
  </si>
  <si>
    <t>21736-80-100</t>
  </si>
  <si>
    <t>21736-80-101</t>
  </si>
  <si>
    <t>21736-80-102</t>
  </si>
  <si>
    <t>21736-80-103</t>
  </si>
  <si>
    <t>21736-80-104</t>
  </si>
  <si>
    <t>21736-80-105</t>
  </si>
  <si>
    <t>21736-80-106</t>
  </si>
  <si>
    <t>21736-80-107</t>
  </si>
  <si>
    <t>21736-80-108</t>
  </si>
  <si>
    <t>21736-80-109</t>
  </si>
  <si>
    <t>21736-80-110</t>
  </si>
  <si>
    <t>21736-80-111</t>
  </si>
  <si>
    <t>21736-80-112</t>
  </si>
  <si>
    <t>21736-80-113</t>
  </si>
  <si>
    <t>21736-80-114</t>
  </si>
  <si>
    <t>21736-80-115</t>
  </si>
  <si>
    <t>21736-80-116</t>
  </si>
  <si>
    <t>21736-80-117</t>
  </si>
  <si>
    <t>21736-80-118</t>
  </si>
  <si>
    <t>21736-80-119</t>
  </si>
  <si>
    <t>21736-80-120</t>
  </si>
  <si>
    <t>21736-80-121</t>
  </si>
  <si>
    <t>21736-80-122</t>
  </si>
  <si>
    <t>21736-80-123</t>
  </si>
  <si>
    <t>21736-80-124</t>
  </si>
  <si>
    <t>21736-80-125</t>
  </si>
  <si>
    <t>21736-80-126</t>
  </si>
  <si>
    <t>21736-80-127</t>
  </si>
  <si>
    <t>21736-80-128</t>
  </si>
  <si>
    <t>21736-80-129</t>
  </si>
  <si>
    <t>21736-80-130</t>
  </si>
  <si>
    <t>21736-90-1</t>
  </si>
  <si>
    <t>21736-90-2</t>
  </si>
  <si>
    <t>21736-90-3</t>
  </si>
  <si>
    <t>21736-90-4</t>
  </si>
  <si>
    <t>1"</t>
  </si>
  <si>
    <t>21736-100-1</t>
  </si>
  <si>
    <t>21736-100-2</t>
  </si>
  <si>
    <t>21736-100-3</t>
  </si>
  <si>
    <t>21736-100-4</t>
  </si>
  <si>
    <t>21736-100-5</t>
  </si>
  <si>
    <t>21736-100-6</t>
  </si>
  <si>
    <t>21736-100-7</t>
  </si>
  <si>
    <t>Trunnion Mounted Ball Valve</t>
  </si>
  <si>
    <t>900#</t>
  </si>
  <si>
    <t>21736-110-1</t>
  </si>
  <si>
    <t>21736-110-2</t>
  </si>
  <si>
    <t>21736-110-3</t>
  </si>
  <si>
    <t>21736-110-4</t>
  </si>
  <si>
    <t>21736-110-5</t>
  </si>
  <si>
    <t>21736-110-6</t>
  </si>
  <si>
    <t>21736-110-7</t>
  </si>
  <si>
    <t>21736-110-8</t>
  </si>
  <si>
    <t>21736-110-9</t>
  </si>
  <si>
    <t>21736-110-10</t>
  </si>
  <si>
    <t>21736-110-11</t>
  </si>
  <si>
    <t>21736-110-12</t>
  </si>
  <si>
    <t>21736-110-13</t>
  </si>
  <si>
    <t>21736-110-14</t>
  </si>
  <si>
    <t>21736-110-15</t>
  </si>
  <si>
    <t>21736-110-16</t>
  </si>
  <si>
    <t>21736-110-17</t>
  </si>
  <si>
    <t>21736-110-18</t>
  </si>
  <si>
    <t>21736-110-19</t>
  </si>
  <si>
    <t>21736-110-20</t>
  </si>
  <si>
    <t>21736-110-21</t>
  </si>
  <si>
    <t>21736-110-22</t>
  </si>
  <si>
    <t>21736-110-23</t>
  </si>
  <si>
    <t>21736-110-24</t>
  </si>
  <si>
    <t>21736-110-25</t>
  </si>
  <si>
    <t>21736-110-26</t>
  </si>
  <si>
    <t>21736-110-27</t>
  </si>
  <si>
    <t>21736-110-28</t>
  </si>
  <si>
    <t>21736-110-29</t>
  </si>
  <si>
    <t>21736-110-30</t>
  </si>
  <si>
    <t>21736-110-31</t>
  </si>
  <si>
    <t>21736-110-32</t>
  </si>
  <si>
    <t>21736-110-33</t>
  </si>
  <si>
    <t>21736-110-34</t>
  </si>
  <si>
    <t>21736-110-35</t>
  </si>
  <si>
    <t>21736-110-36</t>
  </si>
  <si>
    <t>21736-110-37</t>
  </si>
  <si>
    <t>21736-110-38</t>
  </si>
  <si>
    <t>21736-110-39</t>
  </si>
  <si>
    <t>21736-110-40</t>
  </si>
  <si>
    <t>21736-110-41</t>
  </si>
  <si>
    <t>21736-110-42</t>
  </si>
  <si>
    <t>21736-110-43</t>
  </si>
  <si>
    <t>21736-110-44</t>
  </si>
  <si>
    <t>21736-110-45</t>
  </si>
  <si>
    <t>21736-110-46</t>
  </si>
  <si>
    <t>21736-110-47</t>
  </si>
  <si>
    <t>21736-110-48</t>
  </si>
  <si>
    <t>21736-110-49</t>
  </si>
  <si>
    <t>21736-110-50</t>
  </si>
  <si>
    <t>21736-110-51</t>
  </si>
  <si>
    <t>21736-110-52</t>
  </si>
  <si>
    <t>21736-110-53</t>
  </si>
  <si>
    <t>21736-110-54</t>
  </si>
  <si>
    <t>21736-110-55</t>
  </si>
  <si>
    <t>21736-110-56</t>
  </si>
  <si>
    <t>21736-110-57</t>
  </si>
  <si>
    <t>21736-110-58</t>
  </si>
  <si>
    <t>21736-110-59</t>
  </si>
  <si>
    <t>21736-110-60</t>
  </si>
  <si>
    <t>21736-110-61</t>
  </si>
  <si>
    <t>21736-110-62</t>
  </si>
  <si>
    <t>21736-110-63</t>
  </si>
  <si>
    <t>21736-110-64</t>
  </si>
  <si>
    <t>21736-110-65</t>
  </si>
  <si>
    <t>21736-110-66</t>
  </si>
  <si>
    <t>21736-110-67</t>
  </si>
  <si>
    <t>21736-110-68</t>
  </si>
  <si>
    <t>21736-110-69</t>
  </si>
  <si>
    <t>21736-110-70</t>
  </si>
  <si>
    <t>21736-110-71</t>
  </si>
  <si>
    <t>21736-110-72</t>
  </si>
  <si>
    <t>21736-110-73</t>
  </si>
  <si>
    <t>21736-110-74</t>
  </si>
  <si>
    <t>21736-110-75</t>
  </si>
  <si>
    <t>21736-110-76</t>
  </si>
  <si>
    <t>21736-110-77</t>
  </si>
  <si>
    <t>21736-110-78</t>
  </si>
  <si>
    <t>21736-110-79</t>
  </si>
  <si>
    <t>6"X4"</t>
  </si>
  <si>
    <t>21736-120-1</t>
  </si>
  <si>
    <t>8"X6"</t>
  </si>
  <si>
    <t>21736-130-1</t>
  </si>
  <si>
    <t>21736-130-2</t>
  </si>
  <si>
    <t>10"X8"</t>
  </si>
  <si>
    <t>21736-140-1</t>
  </si>
  <si>
    <t>1/2"</t>
  </si>
  <si>
    <t>800#</t>
  </si>
  <si>
    <t>NPT</t>
  </si>
  <si>
    <t>B148 UNS C95800</t>
  </si>
  <si>
    <t>21736-150-1</t>
  </si>
  <si>
    <t>21736-150-2</t>
  </si>
  <si>
    <t>21736-150-3</t>
  </si>
  <si>
    <t>21736-150-4</t>
  </si>
  <si>
    <t>21736-150-5</t>
  </si>
  <si>
    <t>21736-150-6</t>
  </si>
  <si>
    <t>21736-150-7</t>
  </si>
  <si>
    <t>21736-150-8</t>
  </si>
  <si>
    <t>21736-150-9</t>
  </si>
  <si>
    <t>21736-150-10</t>
  </si>
  <si>
    <t>21736-150-11</t>
  </si>
  <si>
    <t>21736-150-12</t>
  </si>
  <si>
    <t>21736-150-13</t>
  </si>
  <si>
    <t>21736-150-14</t>
  </si>
  <si>
    <t>21736-150-15</t>
  </si>
  <si>
    <t>21736-150-16</t>
  </si>
  <si>
    <t>21736-150-17</t>
  </si>
  <si>
    <t>21736-150-18</t>
  </si>
  <si>
    <t>21736-150-19</t>
  </si>
  <si>
    <t>21736-150-20</t>
  </si>
  <si>
    <t>21736-150-21</t>
  </si>
  <si>
    <t>21736-150-22</t>
  </si>
  <si>
    <t>21736-150-23</t>
  </si>
  <si>
    <t>21736-150-24</t>
  </si>
  <si>
    <t>21736-150-25</t>
  </si>
  <si>
    <t>21736-150-26</t>
  </si>
  <si>
    <t>21736-150-27</t>
  </si>
  <si>
    <t>21736-150-28</t>
  </si>
  <si>
    <t>21736-150-29</t>
  </si>
  <si>
    <t>21736-150-30</t>
  </si>
  <si>
    <t>21736-150-31</t>
  </si>
  <si>
    <t>21736-150-32</t>
  </si>
  <si>
    <t>21736-150-33</t>
  </si>
  <si>
    <t>21736-150-34</t>
  </si>
  <si>
    <t>21736-150-35</t>
  </si>
  <si>
    <t>21736-150-36</t>
  </si>
  <si>
    <t>21736-150-37</t>
  </si>
  <si>
    <t>21736-150-38</t>
  </si>
  <si>
    <t>21736-150-39</t>
  </si>
  <si>
    <t>21736-150-40</t>
  </si>
  <si>
    <t>21736-150-41</t>
  </si>
  <si>
    <t>21736-150-42</t>
  </si>
  <si>
    <t>21736-150-43</t>
  </si>
  <si>
    <t>21736-150-44</t>
  </si>
  <si>
    <t>21736-150-45</t>
  </si>
  <si>
    <t>21736-150-46</t>
  </si>
  <si>
    <t>21736-150-47</t>
  </si>
  <si>
    <t>21736-150-48</t>
  </si>
  <si>
    <t>21736-150-49</t>
  </si>
  <si>
    <t>21736-150-50</t>
  </si>
  <si>
    <t>21736-150-51</t>
  </si>
  <si>
    <t>21736-150-52</t>
  </si>
  <si>
    <t>21736-150-53</t>
  </si>
  <si>
    <t>21736-150-54</t>
  </si>
  <si>
    <t>21736-150-55</t>
  </si>
  <si>
    <t>21736-150-56</t>
  </si>
  <si>
    <t>21736-150-57</t>
  </si>
  <si>
    <t>21736-150-58</t>
  </si>
  <si>
    <t>21736-150-59</t>
  </si>
  <si>
    <t>21736-150-60</t>
  </si>
  <si>
    <t>21736-150-61</t>
  </si>
  <si>
    <t>21736-150-62</t>
  </si>
  <si>
    <t>21736-150-63</t>
  </si>
  <si>
    <t>21736-150-64</t>
  </si>
  <si>
    <t>21736-150-65</t>
  </si>
  <si>
    <t>21736-150-66</t>
  </si>
  <si>
    <t>21736-150-67</t>
  </si>
  <si>
    <t>21736-150-68</t>
  </si>
  <si>
    <t>21736-150-69</t>
  </si>
  <si>
    <t>21736-150-70</t>
  </si>
  <si>
    <t>21736-150-71</t>
  </si>
  <si>
    <t>21736-150-72</t>
  </si>
  <si>
    <t>21736-150-73</t>
  </si>
  <si>
    <t>21736-150-74</t>
  </si>
  <si>
    <t>21736-150-75</t>
  </si>
  <si>
    <t>21736-150-76</t>
  </si>
  <si>
    <t>21736-150-77</t>
  </si>
  <si>
    <t>21736-150-78</t>
  </si>
  <si>
    <t>21736-150-79</t>
  </si>
  <si>
    <t>21736-150-80</t>
  </si>
  <si>
    <t>21736-160-1</t>
  </si>
  <si>
    <t>21736-160-2</t>
  </si>
  <si>
    <t>21736-160-3</t>
  </si>
  <si>
    <t>Gate Valve</t>
  </si>
  <si>
    <t>6"</t>
  </si>
  <si>
    <t>FB</t>
  </si>
  <si>
    <t>A216 Gr.WCB</t>
  </si>
  <si>
    <t>21736-170-1</t>
  </si>
  <si>
    <t>21736-170-2</t>
  </si>
  <si>
    <t>21736-170-3</t>
  </si>
  <si>
    <t>8"</t>
  </si>
  <si>
    <t>21736-180-1</t>
  </si>
  <si>
    <t>21736-180-2</t>
  </si>
  <si>
    <t>21736-180-3</t>
  </si>
  <si>
    <t>10"</t>
  </si>
  <si>
    <t>21736-190-1</t>
  </si>
  <si>
    <t>14"</t>
  </si>
  <si>
    <t>21736-200-1</t>
  </si>
  <si>
    <t>21736-200-2</t>
  </si>
  <si>
    <t>21736-210-1</t>
  </si>
  <si>
    <t>21736-210-2</t>
  </si>
  <si>
    <t>Globe Valve</t>
  </si>
  <si>
    <t>4"</t>
  </si>
  <si>
    <t>STD</t>
  </si>
  <si>
    <t>21736-220-1</t>
  </si>
  <si>
    <t>21736-220-2</t>
  </si>
  <si>
    <t>Floating Ball valve</t>
  </si>
  <si>
    <t>1"X3/4"</t>
  </si>
  <si>
    <t>21592-10-1</t>
  </si>
  <si>
    <t>21592-10-2</t>
  </si>
  <si>
    <t>21592-10-3</t>
  </si>
  <si>
    <t>21592-10-4</t>
  </si>
  <si>
    <t>21592-10-5</t>
  </si>
  <si>
    <t>21592-10-6</t>
  </si>
  <si>
    <t xml:space="preserve"> A182 Gr.F55</t>
  </si>
  <si>
    <t>21592-20-1</t>
  </si>
  <si>
    <t>21592-20-2</t>
  </si>
  <si>
    <t>21592-20-3</t>
  </si>
  <si>
    <t>21592-20-4</t>
  </si>
  <si>
    <t>21592-20-5</t>
  </si>
  <si>
    <t>21592-30-1</t>
  </si>
  <si>
    <t>21592-30-2</t>
  </si>
  <si>
    <t>21592-30-3</t>
  </si>
  <si>
    <t>21592-30-4</t>
  </si>
  <si>
    <t>Currency Codes</t>
  </si>
  <si>
    <t>UoM (SAP)</t>
  </si>
  <si>
    <t>Classification List</t>
  </si>
  <si>
    <t>Certification List</t>
  </si>
  <si>
    <t>AED</t>
  </si>
  <si>
    <t>%</t>
  </si>
  <si>
    <t>M - Material Cert.</t>
  </si>
  <si>
    <t>ADP</t>
  </si>
  <si>
    <t>ADP - Andoran peseta</t>
  </si>
  <si>
    <t>Andoran peseta</t>
  </si>
  <si>
    <t>Commercial</t>
  </si>
  <si>
    <t>Measurement unit text</t>
  </si>
  <si>
    <t xml:space="preserve">BRR </t>
  </si>
  <si>
    <t xml:space="preserve">BRR  - Blade Registration Record for Rotor     </t>
  </si>
  <si>
    <t xml:space="preserve">Blade Registration Record for Rotor     </t>
  </si>
  <si>
    <t>AFN</t>
  </si>
  <si>
    <t>%O</t>
  </si>
  <si>
    <t>I - Non-Stock</t>
  </si>
  <si>
    <t>N - None</t>
  </si>
  <si>
    <t>AED - United Arab Emirates Dirham</t>
  </si>
  <si>
    <t>United Arab Emirates Dirham</t>
  </si>
  <si>
    <t>BAG</t>
  </si>
  <si>
    <t>BAG - BAG</t>
  </si>
  <si>
    <t>BTC</t>
  </si>
  <si>
    <t xml:space="preserve">BTC  - Batch Test Certificate                  </t>
  </si>
  <si>
    <t xml:space="preserve">Batch Test Certificate                  </t>
  </si>
  <si>
    <t>ALL</t>
  </si>
  <si>
    <t>D</t>
  </si>
  <si>
    <t>R - Repairable Itm.</t>
  </si>
  <si>
    <t>O - Others (e.g. Certificate of conformity/calibration)</t>
  </si>
  <si>
    <t>AFA</t>
  </si>
  <si>
    <t>AFA - Afghani</t>
  </si>
  <si>
    <t>Afghani</t>
  </si>
  <si>
    <t>BBL</t>
  </si>
  <si>
    <t>BBL - BARRELS</t>
  </si>
  <si>
    <t>BARRELS</t>
  </si>
  <si>
    <t xml:space="preserve">BTR </t>
  </si>
  <si>
    <t xml:space="preserve">BTR  - Burst test Report for Rupture disc      </t>
  </si>
  <si>
    <t xml:space="preserve">Burst test Report for Rupture disc      </t>
  </si>
  <si>
    <t>AMD</t>
  </si>
  <si>
    <t>CMS</t>
  </si>
  <si>
    <t>S - General Cons. Com.</t>
  </si>
  <si>
    <t>X - Third Party Insp.</t>
  </si>
  <si>
    <t>ALL - Albanian Lek</t>
  </si>
  <si>
    <t>Albanian Lek</t>
  </si>
  <si>
    <t>BOX</t>
  </si>
  <si>
    <t>BOX - BOX</t>
  </si>
  <si>
    <t>C21</t>
  </si>
  <si>
    <t>C21  - Cert of Compliance EN10204/ISO 10474 2.1</t>
  </si>
  <si>
    <t>Cert of Compliance EN10204/ISO 10474 2.1</t>
  </si>
  <si>
    <t>ANG</t>
  </si>
  <si>
    <t>001</t>
  </si>
  <si>
    <t>Y - Capital Ins. Itm.</t>
  </si>
  <si>
    <t>AMD - Armenian Dram</t>
  </si>
  <si>
    <t>Armenian Dram</t>
  </si>
  <si>
    <t>BT</t>
  </si>
  <si>
    <t>BT - BOTTLE</t>
  </si>
  <si>
    <t>BOTTLE</t>
  </si>
  <si>
    <t>CAD</t>
  </si>
  <si>
    <t xml:space="preserve">CAD - Cadmium Coating Certificate </t>
  </si>
  <si>
    <t xml:space="preserve">Cadmium Coating Certificate </t>
  </si>
  <si>
    <t>AOA</t>
  </si>
  <si>
    <t>µL</t>
  </si>
  <si>
    <t>ANG - West Indian Guilder</t>
  </si>
  <si>
    <t>West Indian Guilder</t>
  </si>
  <si>
    <t>CAN</t>
  </si>
  <si>
    <t>CAN - CANISTER</t>
  </si>
  <si>
    <t>CANISTER</t>
  </si>
  <si>
    <t>CALC</t>
  </si>
  <si>
    <t xml:space="preserve">CALC - Calibration Certificate for Instruments </t>
  </si>
  <si>
    <t xml:space="preserve">Calibration Certificate for Instruments </t>
  </si>
  <si>
    <t>ARS</t>
  </si>
  <si>
    <t>µF</t>
  </si>
  <si>
    <t>AON</t>
  </si>
  <si>
    <t>AON - Angolan New Kwanza</t>
  </si>
  <si>
    <t>Angolan New Kwanza</t>
  </si>
  <si>
    <t>CAR</t>
  </si>
  <si>
    <t>CAR - CARTON</t>
  </si>
  <si>
    <t>CARTON</t>
  </si>
  <si>
    <t>CLC</t>
  </si>
  <si>
    <t xml:space="preserve">CLC - Cement Lining Certificate </t>
  </si>
  <si>
    <t xml:space="preserve">Cement Lining Certificate </t>
  </si>
  <si>
    <t>AUD</t>
  </si>
  <si>
    <t>PO</t>
  </si>
  <si>
    <t>AOR</t>
  </si>
  <si>
    <t>AOR - Angolan Kwanza Reajustado</t>
  </si>
  <si>
    <t>Angolan Kwanza Reajustado</t>
  </si>
  <si>
    <t>CM</t>
  </si>
  <si>
    <t>CM - CENTIMETER</t>
  </si>
  <si>
    <t>CENTIMETER</t>
  </si>
  <si>
    <t xml:space="preserve">CLR </t>
  </si>
  <si>
    <t xml:space="preserve">CLR  - COC to Cement Lining to SHELL DEP spec. </t>
  </si>
  <si>
    <t xml:space="preserve">COC to Cement Lining to SHELL DEP spec. </t>
  </si>
  <si>
    <t>AWG</t>
  </si>
  <si>
    <t>GOH</t>
  </si>
  <si>
    <t>ARS - Argentine Peso</t>
  </si>
  <si>
    <t>Argentine Peso</t>
  </si>
  <si>
    <t>CYL</t>
  </si>
  <si>
    <t>CYL - CYLINDER</t>
  </si>
  <si>
    <t>CYLINDER</t>
  </si>
  <si>
    <t xml:space="preserve">COA </t>
  </si>
  <si>
    <t xml:space="preserve">COA  - Certificate of Analysis        </t>
  </si>
  <si>
    <t xml:space="preserve">Certificate of Analysis        </t>
  </si>
  <si>
    <t>AZN</t>
  </si>
  <si>
    <t>GM3</t>
  </si>
  <si>
    <t>ATS</t>
  </si>
  <si>
    <t>ATS - Austrian Schilling</t>
  </si>
  <si>
    <t>Austrian Schilling</t>
  </si>
  <si>
    <t>DAY</t>
  </si>
  <si>
    <t>DAY - DAYS</t>
  </si>
  <si>
    <t>DAYS</t>
  </si>
  <si>
    <t xml:space="preserve">DCR </t>
  </si>
  <si>
    <t xml:space="preserve">DCR  - Dimensional Check Report                </t>
  </si>
  <si>
    <t xml:space="preserve">Dimensional Check Report                </t>
  </si>
  <si>
    <t>BAM</t>
  </si>
  <si>
    <t>ACR</t>
  </si>
  <si>
    <t>AUD - Australian Dollar</t>
  </si>
  <si>
    <t>Australian Dollar</t>
  </si>
  <si>
    <t>DR</t>
  </si>
  <si>
    <t>DR - DRUM</t>
  </si>
  <si>
    <t>DRUM</t>
  </si>
  <si>
    <t xml:space="preserve">DMC </t>
  </si>
  <si>
    <t xml:space="preserve">DMC  - Dynamic Balancing Certificate           </t>
  </si>
  <si>
    <t xml:space="preserve">Dynamic Balancing Certificate           </t>
  </si>
  <si>
    <t>BBD</t>
  </si>
  <si>
    <t>AM</t>
  </si>
  <si>
    <t>AWG - Aruban Guilder</t>
  </si>
  <si>
    <t>Aruban Guilder</t>
  </si>
  <si>
    <t>EA</t>
  </si>
  <si>
    <t>EA - EACH</t>
  </si>
  <si>
    <t>EACH</t>
  </si>
  <si>
    <t>DPTR</t>
  </si>
  <si>
    <t xml:space="preserve">DPTR - Dye Penetrant Test Report               </t>
  </si>
  <si>
    <t xml:space="preserve">Dye Penetrant Test Report               </t>
  </si>
  <si>
    <t>BDT</t>
  </si>
  <si>
    <t>API</t>
  </si>
  <si>
    <t>AZM</t>
  </si>
  <si>
    <t>AZM - Azerbaijan Manat - Old</t>
  </si>
  <si>
    <t>Azerbaijan Manat - Old</t>
  </si>
  <si>
    <t>FT</t>
  </si>
  <si>
    <t>FT - FEET</t>
  </si>
  <si>
    <t>FEET</t>
  </si>
  <si>
    <t>ECC</t>
  </si>
  <si>
    <t xml:space="preserve">ECC - Epoxy Coating Certificate </t>
  </si>
  <si>
    <t xml:space="preserve">Epoxy Coating Certificate </t>
  </si>
  <si>
    <t>BGN</t>
  </si>
  <si>
    <t>B/F</t>
  </si>
  <si>
    <t>AZN - Azerbaijan Manat</t>
  </si>
  <si>
    <t>Azerbaijan Manat</t>
  </si>
  <si>
    <t>FT2</t>
  </si>
  <si>
    <t>FT2 - SQ.FEET</t>
  </si>
  <si>
    <t>SQ.FEET</t>
  </si>
  <si>
    <t>EFC</t>
  </si>
  <si>
    <t>EFC - Exhaust fan certification to MOE Qatar Regulations</t>
  </si>
  <si>
    <t>Exhaust fan certification to MOE Qatar Regulations</t>
  </si>
  <si>
    <t>BHD</t>
  </si>
  <si>
    <t>B16</t>
  </si>
  <si>
    <t>BAM - Bosnia and Herzegovina Convertible Mark</t>
  </si>
  <si>
    <t>Bosnia and Herzegovina Convertible Mark</t>
  </si>
  <si>
    <t>G</t>
  </si>
  <si>
    <t>G - GRAM</t>
  </si>
  <si>
    <t>GRAM</t>
  </si>
  <si>
    <t xml:space="preserve">EMR </t>
  </si>
  <si>
    <t xml:space="preserve">EMR  - Electric Motor Test report              </t>
  </si>
  <si>
    <t xml:space="preserve">Electric Motor Test report              </t>
  </si>
  <si>
    <t>BIF</t>
  </si>
  <si>
    <t>KD3</t>
  </si>
  <si>
    <t>BBD - Barbados Dollar</t>
  </si>
  <si>
    <t>Barbados Dollar</t>
  </si>
  <si>
    <t>GAL</t>
  </si>
  <si>
    <t>GAL - US GALLON</t>
  </si>
  <si>
    <t>US GALLON</t>
  </si>
  <si>
    <t>ENC</t>
  </si>
  <si>
    <t xml:space="preserve">ENC - ENP Coating Certificate </t>
  </si>
  <si>
    <t xml:space="preserve">ENP Coating Certificate </t>
  </si>
  <si>
    <t>BMD</t>
  </si>
  <si>
    <t>QML</t>
  </si>
  <si>
    <t>BDT - Bangladesh Taka</t>
  </si>
  <si>
    <t>Bangladesh Taka</t>
  </si>
  <si>
    <t>GL</t>
  </si>
  <si>
    <t>GL - GALLON</t>
  </si>
  <si>
    <t>GALLON</t>
  </si>
  <si>
    <t xml:space="preserve">ERR </t>
  </si>
  <si>
    <t xml:space="preserve">ERR  - Electrical Run out Report               </t>
  </si>
  <si>
    <t xml:space="preserve">Electrical Run out Report               </t>
  </si>
  <si>
    <t>BND</t>
  </si>
  <si>
    <t>NI</t>
  </si>
  <si>
    <t>BEF</t>
  </si>
  <si>
    <t>BEF - Belgian Franc</t>
  </si>
  <si>
    <t>Belgian Franc</t>
  </si>
  <si>
    <t>GM</t>
  </si>
  <si>
    <t>GM - GRAM/MOL</t>
  </si>
  <si>
    <t>GRAM/MOL</t>
  </si>
  <si>
    <t>FET</t>
  </si>
  <si>
    <t>FET - Fugative Emission Test Report</t>
  </si>
  <si>
    <t>Fugative Emission Test Report</t>
  </si>
  <si>
    <t>BOB</t>
  </si>
  <si>
    <t>MN</t>
  </si>
  <si>
    <t>BGN - Bulgarian Lev</t>
  </si>
  <si>
    <t>Bulgarian Lev</t>
  </si>
  <si>
    <t>HR</t>
  </si>
  <si>
    <t>HR - HOURS</t>
  </si>
  <si>
    <t>HOURS</t>
  </si>
  <si>
    <t xml:space="preserve">FPR </t>
  </si>
  <si>
    <t xml:space="preserve">FPR  - Functional/Performance Test report      </t>
  </si>
  <si>
    <t xml:space="preserve">Functional/Performance Test report      </t>
  </si>
  <si>
    <t>BOV</t>
  </si>
  <si>
    <t>MGO</t>
  </si>
  <si>
    <t>BHD - Bahrain Dinar</t>
  </si>
  <si>
    <t>Bahrain Dinar</t>
  </si>
  <si>
    <t>INM</t>
  </si>
  <si>
    <t>INM - INCH METER</t>
  </si>
  <si>
    <t>INCH METER</t>
  </si>
  <si>
    <t>FSC</t>
  </si>
  <si>
    <t xml:space="preserve">FSC - Fire Safe Certificate </t>
  </si>
  <si>
    <t xml:space="preserve">Fire Safe Certificate </t>
  </si>
  <si>
    <t>BRL</t>
  </si>
  <si>
    <t>MHV</t>
  </si>
  <si>
    <t>BIF - Burundi Franc</t>
  </si>
  <si>
    <t>Burundi Franc</t>
  </si>
  <si>
    <t>JOB</t>
  </si>
  <si>
    <t>JOB - JOB</t>
  </si>
  <si>
    <t xml:space="preserve">GAL - Galvanizing Certificate </t>
  </si>
  <si>
    <t xml:space="preserve">Galvanizing Certificate </t>
  </si>
  <si>
    <t>BSD</t>
  </si>
  <si>
    <t>µA</t>
  </si>
  <si>
    <t>BMD - Bermudan Dollar</t>
  </si>
  <si>
    <t>Bermudan Dollar</t>
  </si>
  <si>
    <t>JT</t>
  </si>
  <si>
    <t>JT - JOINT</t>
  </si>
  <si>
    <t>JOINT</t>
  </si>
  <si>
    <t xml:space="preserve">HAZ </t>
  </si>
  <si>
    <t xml:space="preserve">HAZ  - H.A.Z. Certificate (ATEX, UL, CSA, FM)  </t>
  </si>
  <si>
    <t xml:space="preserve">H.A.Z. Certificate (ATEX, UL, CSA, FM)  </t>
  </si>
  <si>
    <t>BTN</t>
  </si>
  <si>
    <t>BND - Brunei Dollar</t>
  </si>
  <si>
    <t>Brunei Dollar</t>
  </si>
  <si>
    <t>KG</t>
  </si>
  <si>
    <t>KG - KILOGRAM</t>
  </si>
  <si>
    <t>KILOGRAM</t>
  </si>
  <si>
    <t>HAZ  - Hazardous Classification Approval Certificate</t>
  </si>
  <si>
    <t>Hazardous Classification Approval Certificate</t>
  </si>
  <si>
    <t>BWP</t>
  </si>
  <si>
    <t>BAY</t>
  </si>
  <si>
    <t>BOB - Boliviano</t>
  </si>
  <si>
    <t>Boliviano</t>
  </si>
  <si>
    <t>KIT</t>
  </si>
  <si>
    <t>KIT - KIT</t>
  </si>
  <si>
    <t>HDB</t>
  </si>
  <si>
    <t>HDB - Hysteresis and Deadband test</t>
  </si>
  <si>
    <t>Hysteresis and Deadband test</t>
  </si>
  <si>
    <t>BYN</t>
  </si>
  <si>
    <t>BB6</t>
  </si>
  <si>
    <t>BRL - Brazilian Real</t>
  </si>
  <si>
    <t>Brazilian Real</t>
  </si>
  <si>
    <t>KWH</t>
  </si>
  <si>
    <t>KWH - KILOWATT HOURS</t>
  </si>
  <si>
    <t>KILOWATT HOURS</t>
  </si>
  <si>
    <t xml:space="preserve">HTR </t>
  </si>
  <si>
    <t xml:space="preserve">HTR  - Hardness Test Report                    </t>
  </si>
  <si>
    <t xml:space="preserve">Hardness Test Report                    </t>
  </si>
  <si>
    <t>BZD</t>
  </si>
  <si>
    <t>BSD - Bahaman Dollar</t>
  </si>
  <si>
    <t>Bahaman Dollar</t>
  </si>
  <si>
    <t>L</t>
  </si>
  <si>
    <t>L - LITER</t>
  </si>
  <si>
    <t>LITER</t>
  </si>
  <si>
    <t>HYTC</t>
  </si>
  <si>
    <t xml:space="preserve">HYTC - Hydro Test Certificate                  </t>
  </si>
  <si>
    <t xml:space="preserve">Hydro Test Certificate                  </t>
  </si>
  <si>
    <t>BC1</t>
  </si>
  <si>
    <t>BTN - Bhutan Ngultrum</t>
  </si>
  <si>
    <t>Bhutan Ngultrum</t>
  </si>
  <si>
    <t>LB</t>
  </si>
  <si>
    <t>LB - US POUND</t>
  </si>
  <si>
    <t>US POUND</t>
  </si>
  <si>
    <t>ICT</t>
  </si>
  <si>
    <t>ICT - Intergranular Corrosion Test Report (for Austentic SS and Nickel Alloys)</t>
  </si>
  <si>
    <t>Intergranular Corrosion Test Report (for Austentic SS and Nickel Alloys)</t>
  </si>
  <si>
    <t>CDF</t>
  </si>
  <si>
    <t>BC2</t>
  </si>
  <si>
    <t>BWP - Botswana Pula</t>
  </si>
  <si>
    <t>Botswana Pula</t>
  </si>
  <si>
    <t>LOT</t>
  </si>
  <si>
    <t>LOT - LOT</t>
  </si>
  <si>
    <t xml:space="preserve">LOC </t>
  </si>
  <si>
    <t xml:space="preserve">LOC  - Letter of Conformity                    </t>
  </si>
  <si>
    <t xml:space="preserve">Letter of Conformity                    </t>
  </si>
  <si>
    <t>CHE</t>
  </si>
  <si>
    <t>BC3</t>
  </si>
  <si>
    <t>BYB</t>
  </si>
  <si>
    <t>BYB - Belorussian Ruble</t>
  </si>
  <si>
    <t>Belorussian Ruble</t>
  </si>
  <si>
    <t>LS</t>
  </si>
  <si>
    <t>LS - LUMPSUM</t>
  </si>
  <si>
    <t>LUMPSUM</t>
  </si>
  <si>
    <t xml:space="preserve">LTC </t>
  </si>
  <si>
    <t>LTC  - PLT Cert as per QP-REG-Q-001 Rev-5 (Latest Rev)</t>
  </si>
  <si>
    <t>PLT Cert as per QP-REG-Q-001 Rev-5 (Latest Rev)</t>
  </si>
  <si>
    <t>CHF</t>
  </si>
  <si>
    <t>BC4</t>
  </si>
  <si>
    <t>BZD - Belize Dollar</t>
  </si>
  <si>
    <t>Belize Dollar</t>
  </si>
  <si>
    <t>M</t>
  </si>
  <si>
    <t>M - METER</t>
  </si>
  <si>
    <t>METER</t>
  </si>
  <si>
    <t xml:space="preserve">LTR </t>
  </si>
  <si>
    <t xml:space="preserve">LTR  - LT Test Report to SHELL Spec SPE77/306  </t>
  </si>
  <si>
    <t xml:space="preserve">LT Test Report to SHELL Spec SPE77/306  </t>
  </si>
  <si>
    <t>CHW</t>
  </si>
  <si>
    <t>BC5</t>
  </si>
  <si>
    <t>CAD - Canadian Dollar</t>
  </si>
  <si>
    <t>Canadian Dollar</t>
  </si>
  <si>
    <t>M2</t>
  </si>
  <si>
    <t>M2 - SQ.METER</t>
  </si>
  <si>
    <t>SQ.METER</t>
  </si>
  <si>
    <t>LTS</t>
  </si>
  <si>
    <t>LTS - Low Temperature Service certificate</t>
  </si>
  <si>
    <t>Low Temperature Service certificate</t>
  </si>
  <si>
    <t>CLF</t>
  </si>
  <si>
    <t>BC6</t>
  </si>
  <si>
    <t>CFP</t>
  </si>
  <si>
    <t>CFP - French Franc (Pacific Islands)</t>
  </si>
  <si>
    <t>French Franc (Pacific Islands)</t>
  </si>
  <si>
    <t>M3</t>
  </si>
  <si>
    <t>M3 - CUBIC METER</t>
  </si>
  <si>
    <t>CUBIC METER</t>
  </si>
  <si>
    <t>M31</t>
  </si>
  <si>
    <t xml:space="preserve">Insp Cert BSEN 10204 type 3.1/ISO 10474 Type 3.1 </t>
  </si>
  <si>
    <t>CLP</t>
  </si>
  <si>
    <t>BHP</t>
  </si>
  <si>
    <t>CHF - Swiss Franc</t>
  </si>
  <si>
    <t>Swiss Franc</t>
  </si>
  <si>
    <t>MI</t>
  </si>
  <si>
    <t>MI - MILE</t>
  </si>
  <si>
    <t>MILE</t>
  </si>
  <si>
    <t>M32</t>
  </si>
  <si>
    <t>M32 - Insp Cert BSEN 10204 3.2/ISO 10474 3.2</t>
  </si>
  <si>
    <t>Insp Cert BSEN 10204 3.2/ISO 10474 3.2</t>
  </si>
  <si>
    <t>CNY</t>
  </si>
  <si>
    <t>BOE</t>
  </si>
  <si>
    <t>CLP - Chilean Peso</t>
  </si>
  <si>
    <t>Chilean Peso</t>
  </si>
  <si>
    <t>MM</t>
  </si>
  <si>
    <t>MM - MILLIMETER</t>
  </si>
  <si>
    <t>MILLIMETER</t>
  </si>
  <si>
    <t>MCC</t>
  </si>
  <si>
    <t>MCC - Machining Certificate</t>
  </si>
  <si>
    <t>Machining Certificate</t>
  </si>
  <si>
    <t>COP</t>
  </si>
  <si>
    <t>CNY - Chinese Renminbi</t>
  </si>
  <si>
    <t>Chinese Renminbi</t>
  </si>
  <si>
    <t>MM2</t>
  </si>
  <si>
    <t>MM2 - SQ.MILLIMETER</t>
  </si>
  <si>
    <t>SQ.MILLIMETER</t>
  </si>
  <si>
    <t>MPIR</t>
  </si>
  <si>
    <t xml:space="preserve">MPIR - Magnetic Particle Inspection Report     </t>
  </si>
  <si>
    <t xml:space="preserve">Magnetic Particle Inspection Report     </t>
  </si>
  <si>
    <t>COU</t>
  </si>
  <si>
    <t>COP - Colombian Peso</t>
  </si>
  <si>
    <t>Colombian Peso</t>
  </si>
  <si>
    <t>MON</t>
  </si>
  <si>
    <t>MON - MONTHS</t>
  </si>
  <si>
    <t>MONTHS</t>
  </si>
  <si>
    <t>MSDS</t>
  </si>
  <si>
    <t xml:space="preserve">MSDS - Material Safety Data Sheet              </t>
  </si>
  <si>
    <t xml:space="preserve">Material Safety Data Sheet              </t>
  </si>
  <si>
    <t>CRC</t>
  </si>
  <si>
    <t>BPI</t>
  </si>
  <si>
    <t>CRC - Costa Rica Colon</t>
  </si>
  <si>
    <t>Costa Rica Colon</t>
  </si>
  <si>
    <t>NO</t>
  </si>
  <si>
    <t>NUMBERS</t>
  </si>
  <si>
    <t xml:space="preserve">MTR </t>
  </si>
  <si>
    <t xml:space="preserve">MTR  - Manufacturer's Test report              </t>
  </si>
  <si>
    <t xml:space="preserve">Manufacturer's Test report              </t>
  </si>
  <si>
    <t>CUC</t>
  </si>
  <si>
    <t>BPM</t>
  </si>
  <si>
    <t>CUP</t>
  </si>
  <si>
    <t>CUP - Cuban Peso</t>
  </si>
  <si>
    <t>Cuban Peso</t>
  </si>
  <si>
    <t>OZ</t>
  </si>
  <si>
    <t>OZ - OUNCE</t>
  </si>
  <si>
    <t>OUNCE</t>
  </si>
  <si>
    <t xml:space="preserve">NCC </t>
  </si>
  <si>
    <t xml:space="preserve">NCC  - NACE MR.01.75 Compliance Certificate    </t>
  </si>
  <si>
    <t xml:space="preserve">NACE MR.01.75 Compliance Certificate    </t>
  </si>
  <si>
    <t>BTU</t>
  </si>
  <si>
    <t>CVE</t>
  </si>
  <si>
    <t>CVE - Cape Verde Escudo</t>
  </si>
  <si>
    <t>Cape Verde Escudo</t>
  </si>
  <si>
    <t>PAA</t>
  </si>
  <si>
    <t>PAA - PAIR</t>
  </si>
  <si>
    <t>PAIR</t>
  </si>
  <si>
    <t>NDTR</t>
  </si>
  <si>
    <t xml:space="preserve">NDTR - Non Destructive Test Report             </t>
  </si>
  <si>
    <t xml:space="preserve">Non Destructive Test Report             </t>
  </si>
  <si>
    <t>CYP</t>
  </si>
  <si>
    <t>CYP - Cyprus Pound</t>
  </si>
  <si>
    <t>Cyprus Pound</t>
  </si>
  <si>
    <t>PAC</t>
  </si>
  <si>
    <t>PAC - PACK</t>
  </si>
  <si>
    <t>PACK</t>
  </si>
  <si>
    <t xml:space="preserve">PAR </t>
  </si>
  <si>
    <t xml:space="preserve">PAR  - Painting Report                         </t>
  </si>
  <si>
    <t xml:space="preserve">Painting Report                         </t>
  </si>
  <si>
    <t>CZK</t>
  </si>
  <si>
    <t>M/M</t>
  </si>
  <si>
    <t>CZK - Czech Krona</t>
  </si>
  <si>
    <t>Czech Krona</t>
  </si>
  <si>
    <t>PC</t>
  </si>
  <si>
    <t>PIECE</t>
  </si>
  <si>
    <t>PARQ</t>
  </si>
  <si>
    <t xml:space="preserve">PARQ - Painting Report QP spec. QP- SPC- L-002 </t>
  </si>
  <si>
    <t xml:space="preserve">Painting Report QP spec. QP- SPC- L-002 </t>
  </si>
  <si>
    <t>DJF</t>
  </si>
  <si>
    <t>M/L</t>
  </si>
  <si>
    <t>DEM</t>
  </si>
  <si>
    <t>DEM - German Mark</t>
  </si>
  <si>
    <t>German Mark</t>
  </si>
  <si>
    <t>PSI</t>
  </si>
  <si>
    <t>PSI - POUNDS PER SQ.INCH</t>
  </si>
  <si>
    <t>POUNDS PER SQ.INCH</t>
  </si>
  <si>
    <t xml:space="preserve">PMI </t>
  </si>
  <si>
    <t xml:space="preserve">PMI  - Positive Material Identification Report    </t>
  </si>
  <si>
    <t xml:space="preserve">Positive Material Identification Report    </t>
  </si>
  <si>
    <t>DKK</t>
  </si>
  <si>
    <t>DEM3</t>
  </si>
  <si>
    <t>DEM3 - (Internal) German Mark (3 dec.places)</t>
  </si>
  <si>
    <t>(Internal) German Mark (3 dec.places)</t>
  </si>
  <si>
    <t>RL</t>
  </si>
  <si>
    <t>RL - ROLL</t>
  </si>
  <si>
    <t>ROLL</t>
  </si>
  <si>
    <t>PTC</t>
  </si>
  <si>
    <t xml:space="preserve">PTC - PTFE Coating Certificate </t>
  </si>
  <si>
    <t xml:space="preserve">PTFE Coating Certificate </t>
  </si>
  <si>
    <t>DOP</t>
  </si>
  <si>
    <t>C3S</t>
  </si>
  <si>
    <t>DJF - Djibouti Franc</t>
  </si>
  <si>
    <t>Djibouti Franc</t>
  </si>
  <si>
    <t>SCF</t>
  </si>
  <si>
    <t>SCF - CUBIC FOOT</t>
  </si>
  <si>
    <t>CUBIC FOOT</t>
  </si>
  <si>
    <t>PWHT</t>
  </si>
  <si>
    <t xml:space="preserve">PWHT - Post Weld Heat Treatment Report         </t>
  </si>
  <si>
    <t xml:space="preserve">Post Weld Heat Treatment Report         </t>
  </si>
  <si>
    <t>DZD</t>
  </si>
  <si>
    <t>R-U</t>
  </si>
  <si>
    <t>DKK - Danish Krone</t>
  </si>
  <si>
    <t>Danish Krone</t>
  </si>
  <si>
    <t>SET</t>
  </si>
  <si>
    <t>Q115</t>
  </si>
  <si>
    <t xml:space="preserve">Q115 - SRV Cert. for Air &amp; water Service       </t>
  </si>
  <si>
    <t xml:space="preserve">SRV Cert. for Air &amp; water Service       </t>
  </si>
  <si>
    <t>EGP</t>
  </si>
  <si>
    <t>NMM</t>
  </si>
  <si>
    <t>DOP - Dominican Peso</t>
  </si>
  <si>
    <t>Dominican Peso</t>
  </si>
  <si>
    <t>TO</t>
  </si>
  <si>
    <t>TO - TONNE</t>
  </si>
  <si>
    <t>TONNE</t>
  </si>
  <si>
    <t>Q120</t>
  </si>
  <si>
    <t xml:space="preserve">Q120 - SRV Certification for Process Service   </t>
  </si>
  <si>
    <t xml:space="preserve">SRV Certification for Process Service   </t>
  </si>
  <si>
    <t>ERN</t>
  </si>
  <si>
    <t>CBM</t>
  </si>
  <si>
    <t>DZD - Algerian Dinar</t>
  </si>
  <si>
    <t>Algerian Dinar</t>
  </si>
  <si>
    <t>TON</t>
  </si>
  <si>
    <t>TON - US TON</t>
  </si>
  <si>
    <t>US TON</t>
  </si>
  <si>
    <t xml:space="preserve">ROR </t>
  </si>
  <si>
    <t>ROR  - Run out Report for Shaft</t>
  </si>
  <si>
    <t>Run out Report for Shaft</t>
  </si>
  <si>
    <t>ETB</t>
  </si>
  <si>
    <t>CCM</t>
  </si>
  <si>
    <t>ECS</t>
  </si>
  <si>
    <t>ECS - Ecuadorian Sucre</t>
  </si>
  <si>
    <t>Ecuadorian Sucre</t>
  </si>
  <si>
    <t>WK</t>
  </si>
  <si>
    <t>WK - WEEKS</t>
  </si>
  <si>
    <t>WEEKS</t>
  </si>
  <si>
    <t xml:space="preserve">RTR </t>
  </si>
  <si>
    <t xml:space="preserve">RTR  - Radiographic Test Report                </t>
  </si>
  <si>
    <t xml:space="preserve">Radiographic Test Report                </t>
  </si>
  <si>
    <t>EUR</t>
  </si>
  <si>
    <t>CD3</t>
  </si>
  <si>
    <t>EEK</t>
  </si>
  <si>
    <t>EEK - Estonian Krone</t>
  </si>
  <si>
    <t>Estonian Krone</t>
  </si>
  <si>
    <t>YD</t>
  </si>
  <si>
    <t>YD - YARD</t>
  </si>
  <si>
    <t>YARD</t>
  </si>
  <si>
    <t>S200</t>
  </si>
  <si>
    <t>S200 - Cryogenic Test Report (MESC SPE 77/200)</t>
  </si>
  <si>
    <t>Cryogenic Test Report (MESC SPE 77/200)</t>
  </si>
  <si>
    <t>FJD</t>
  </si>
  <si>
    <t>CEL</t>
  </si>
  <si>
    <t>EGP - Egyptian Pound</t>
  </si>
  <si>
    <t>Egyptian Pound</t>
  </si>
  <si>
    <t>S302</t>
  </si>
  <si>
    <t>S302 - SPE 77/302 Insp Tstng Crtn Valve Gen Srv</t>
  </si>
  <si>
    <t>SPE 77/302 Insp Tstng Crtn Valve Gen Srv</t>
  </si>
  <si>
    <t>FKP</t>
  </si>
  <si>
    <t>ERN - Eritrean Nafka</t>
  </si>
  <si>
    <t>Eritrean Nafka</t>
  </si>
  <si>
    <t>S303</t>
  </si>
  <si>
    <t>S303 - SPE 77/303 Insp Tstng Crtn Valve Spc Srv</t>
  </si>
  <si>
    <t>SPE 77/303 Insp Tstng Crtn Valve Spc Srv</t>
  </si>
  <si>
    <t>GBP</t>
  </si>
  <si>
    <t>CM2</t>
  </si>
  <si>
    <t>ESP</t>
  </si>
  <si>
    <t>ESP - Spanish Peseta</t>
  </si>
  <si>
    <t>Spanish Peseta</t>
  </si>
  <si>
    <t>SIL</t>
  </si>
  <si>
    <t>SIL - Safety Integrity level Certification</t>
  </si>
  <si>
    <t>Safety Integrity level Certification</t>
  </si>
  <si>
    <t>GEL</t>
  </si>
  <si>
    <t>CS</t>
  </si>
  <si>
    <t>ETB - Ethiopian Birr</t>
  </si>
  <si>
    <t>Ethiopian Birr</t>
  </si>
  <si>
    <t xml:space="preserve">T22 </t>
  </si>
  <si>
    <t xml:space="preserve">Test report BSEN10204/ISO10474 2.2      </t>
  </si>
  <si>
    <t>GHS</t>
  </si>
  <si>
    <t>CL</t>
  </si>
  <si>
    <t>EUR - European Euro</t>
  </si>
  <si>
    <t>European Euro</t>
  </si>
  <si>
    <t xml:space="preserve">TER </t>
  </si>
  <si>
    <t xml:space="preserve">TER  - Tube Expansion Inspection Report        </t>
  </si>
  <si>
    <t xml:space="preserve">Tube Expansion Inspection Report        </t>
  </si>
  <si>
    <t>GIP</t>
  </si>
  <si>
    <t>FIM</t>
  </si>
  <si>
    <t>FIM - Finnish markka</t>
  </si>
  <si>
    <t>Finnish markka</t>
  </si>
  <si>
    <t>TFC</t>
  </si>
  <si>
    <t xml:space="preserve">TFC - Teflon Coating Certifiacte </t>
  </si>
  <si>
    <t xml:space="preserve">Teflon Coating Certifiacte </t>
  </si>
  <si>
    <t>GMD</t>
  </si>
  <si>
    <t>A/V</t>
  </si>
  <si>
    <t>FJD - Fiji Dollar</t>
  </si>
  <si>
    <t>Fiji Dollar</t>
  </si>
  <si>
    <t xml:space="preserve">TTC </t>
  </si>
  <si>
    <t xml:space="preserve">TTC  - Type Test Certificate                   </t>
  </si>
  <si>
    <t xml:space="preserve">Type Test Certificate                   </t>
  </si>
  <si>
    <t>GNF</t>
  </si>
  <si>
    <t>TOM</t>
  </si>
  <si>
    <t>FKP - Falkland Pound</t>
  </si>
  <si>
    <t>Falkland Pound</t>
  </si>
  <si>
    <t xml:space="preserve">UTL </t>
  </si>
  <si>
    <t xml:space="preserve">UTL  - UT Lamination Check Report              </t>
  </si>
  <si>
    <t xml:space="preserve">UT Lamination Check Report              </t>
  </si>
  <si>
    <t>GTQ</t>
  </si>
  <si>
    <t>VA</t>
  </si>
  <si>
    <t>FRF</t>
  </si>
  <si>
    <t>FRF - French Franc</t>
  </si>
  <si>
    <t>French Franc</t>
  </si>
  <si>
    <t xml:space="preserve">UTR </t>
  </si>
  <si>
    <t xml:space="preserve">UTR  - Ultrasonic Test Report                  </t>
  </si>
  <si>
    <t xml:space="preserve">Ultrasonic Test Report                  </t>
  </si>
  <si>
    <t>GYD</t>
  </si>
  <si>
    <t>RDY</t>
  </si>
  <si>
    <t>GBP - British Pound</t>
  </si>
  <si>
    <t>British Pound</t>
  </si>
  <si>
    <t xml:space="preserve">VDI </t>
  </si>
  <si>
    <t xml:space="preserve">VDI  - Visual  &amp; Dimensional Inspection Report </t>
  </si>
  <si>
    <t xml:space="preserve">Visual  &amp; Dimensional Inspection Report </t>
  </si>
  <si>
    <t>HKD</t>
  </si>
  <si>
    <t>DB</t>
  </si>
  <si>
    <t>GEL - Georgian Lari</t>
  </si>
  <si>
    <t>Georgian Lari</t>
  </si>
  <si>
    <t xml:space="preserve">VIR </t>
  </si>
  <si>
    <t xml:space="preserve">VIR  - Visual Inspection Report                </t>
  </si>
  <si>
    <t xml:space="preserve">Visual Inspection Report                </t>
  </si>
  <si>
    <t>HNL</t>
  </si>
  <si>
    <t>DEG</t>
  </si>
  <si>
    <t>GHC</t>
  </si>
  <si>
    <t>GHC - Ghanian Cedi</t>
  </si>
  <si>
    <t>Ghanian Cedi</t>
  </si>
  <si>
    <t>XXXX</t>
  </si>
  <si>
    <t xml:space="preserve">No Certificate control                  </t>
  </si>
  <si>
    <t>HRK</t>
  </si>
  <si>
    <t>DM</t>
  </si>
  <si>
    <t>GHS - Ghanian Cedi</t>
  </si>
  <si>
    <t>HTG</t>
  </si>
  <si>
    <t>GIP - Gibraltar Pound</t>
  </si>
  <si>
    <t>Gibraltar Pound</t>
  </si>
  <si>
    <t>HUF</t>
  </si>
  <si>
    <t>DZ</t>
  </si>
  <si>
    <t>GMD - Gambian Dalasi</t>
  </si>
  <si>
    <t>Gambian Dalasi</t>
  </si>
  <si>
    <t>IDR</t>
  </si>
  <si>
    <t>GNF - Guinean Franc</t>
  </si>
  <si>
    <t>Guinean Franc</t>
  </si>
  <si>
    <t>ILS</t>
  </si>
  <si>
    <t>EU</t>
  </si>
  <si>
    <t>GRD</t>
  </si>
  <si>
    <t>GRD - Greek Drachma</t>
  </si>
  <si>
    <t>Greek Drachma</t>
  </si>
  <si>
    <t>INR</t>
  </si>
  <si>
    <t>EML</t>
  </si>
  <si>
    <t>GTQ - Guatemalan Quetzal</t>
  </si>
  <si>
    <t>Guatemalan Quetzal</t>
  </si>
  <si>
    <t>IQD</t>
  </si>
  <si>
    <t>GWP</t>
  </si>
  <si>
    <t>GWP - Guinea Peso</t>
  </si>
  <si>
    <t>Guinea Peso</t>
  </si>
  <si>
    <t>IRR</t>
  </si>
  <si>
    <t>GYD - Guyana Dollar</t>
  </si>
  <si>
    <t>Guyana Dollar</t>
  </si>
  <si>
    <t>ISK</t>
  </si>
  <si>
    <t>FT3</t>
  </si>
  <si>
    <t>HKD - Hong Kong Dollar</t>
  </si>
  <si>
    <t>Hong Kong Dollar</t>
  </si>
  <si>
    <t>JMD</t>
  </si>
  <si>
    <t>HNL - Honduran Lempira</t>
  </si>
  <si>
    <t>Honduran Lempira</t>
  </si>
  <si>
    <t>JOD</t>
  </si>
  <si>
    <t>G/L</t>
  </si>
  <si>
    <t>HRK - Croatian Kuna</t>
  </si>
  <si>
    <t>Croatian Kuna</t>
  </si>
  <si>
    <t>JPY</t>
  </si>
  <si>
    <t>GAU</t>
  </si>
  <si>
    <t>HTG - Haitian Gourde</t>
  </si>
  <si>
    <t>Haitian Gourde</t>
  </si>
  <si>
    <t>KES</t>
  </si>
  <si>
    <t>FY</t>
  </si>
  <si>
    <t>HUF - Hungarian Forint</t>
  </si>
  <si>
    <t>Hungarian Forint</t>
  </si>
  <si>
    <t>KGS</t>
  </si>
  <si>
    <t>IDR - Indonesian Rupiah</t>
  </si>
  <si>
    <t>Indonesian Rupiah</t>
  </si>
  <si>
    <t>KHR</t>
  </si>
  <si>
    <t>GLI</t>
  </si>
  <si>
    <t>IEP</t>
  </si>
  <si>
    <t>IEP - Irish Punt</t>
  </si>
  <si>
    <t>Irish Punt</t>
  </si>
  <si>
    <t>KMF</t>
  </si>
  <si>
    <t>ILS - Israeli Scheckel</t>
  </si>
  <si>
    <t>Israeli Scheckel</t>
  </si>
  <si>
    <t>KPW</t>
  </si>
  <si>
    <t>GPM</t>
  </si>
  <si>
    <t>INR - Indian Rupee</t>
  </si>
  <si>
    <t>Indian Rupee</t>
  </si>
  <si>
    <t>KRW</t>
  </si>
  <si>
    <t>IQD - Iraqui Dinar</t>
  </si>
  <si>
    <t>Iraqui Dinar</t>
  </si>
  <si>
    <t>KWD</t>
  </si>
  <si>
    <t>GM2</t>
  </si>
  <si>
    <t>IRR - Iranian Rial</t>
  </si>
  <si>
    <t>Iranian Rial</t>
  </si>
  <si>
    <t>KYD</t>
  </si>
  <si>
    <t>BPH</t>
  </si>
  <si>
    <t>ISK - Iceland Krona</t>
  </si>
  <si>
    <t>Iceland Krona</t>
  </si>
  <si>
    <t>KZT</t>
  </si>
  <si>
    <t>µGQ</t>
  </si>
  <si>
    <t>ITL</t>
  </si>
  <si>
    <t>ITL - Italian Lira</t>
  </si>
  <si>
    <t>Italian Lira</t>
  </si>
  <si>
    <t>LAK</t>
  </si>
  <si>
    <t>GRO</t>
  </si>
  <si>
    <t>JMD - Jamaican Dollar</t>
  </si>
  <si>
    <t>Jamaican Dollar</t>
  </si>
  <si>
    <t>LBP</t>
  </si>
  <si>
    <t>GRT</t>
  </si>
  <si>
    <t>JOD - Jordanian Dinar</t>
  </si>
  <si>
    <t>Jordanian Dinar</t>
  </si>
  <si>
    <t>LKR</t>
  </si>
  <si>
    <t>GI</t>
  </si>
  <si>
    <t>JPY - Japanese Yen</t>
  </si>
  <si>
    <t>Japanese Yen</t>
  </si>
  <si>
    <t>LRD</t>
  </si>
  <si>
    <t>H</t>
  </si>
  <si>
    <t>KES - Kenyan Shilling</t>
  </si>
  <si>
    <t>Kenyan Shilling</t>
  </si>
  <si>
    <t>LSL</t>
  </si>
  <si>
    <t>HA</t>
  </si>
  <si>
    <t>KGS - Kyrgyzstan Som</t>
  </si>
  <si>
    <t>Kyrgyzstan Som</t>
  </si>
  <si>
    <t>LYD</t>
  </si>
  <si>
    <t>HCM</t>
  </si>
  <si>
    <t>KHR - Cambodian Riel</t>
  </si>
  <si>
    <t>Cambodian Riel</t>
  </si>
  <si>
    <t>MAD</t>
  </si>
  <si>
    <t>HL</t>
  </si>
  <si>
    <t>KMF - Comoros Franc</t>
  </si>
  <si>
    <t>Comoros Franc</t>
  </si>
  <si>
    <t>MDL</t>
  </si>
  <si>
    <t>HP</t>
  </si>
  <si>
    <t>KPW - North Korean Won</t>
  </si>
  <si>
    <t>North Korean Won</t>
  </si>
  <si>
    <t>MGA</t>
  </si>
  <si>
    <t>OH</t>
  </si>
  <si>
    <t>KRW - South Korean Won</t>
  </si>
  <si>
    <t>South Korean Won</t>
  </si>
  <si>
    <t>MKD</t>
  </si>
  <si>
    <t>Inch</t>
  </si>
  <si>
    <t>KWD - Kuwaiti Dinar</t>
  </si>
  <si>
    <t>Kuwaiti Dinar</t>
  </si>
  <si>
    <t>MMK</t>
  </si>
  <si>
    <t>Square inch</t>
  </si>
  <si>
    <t>KYD - Cayman Dollar</t>
  </si>
  <si>
    <t>Cayman Dollar</t>
  </si>
  <si>
    <t>MNT</t>
  </si>
  <si>
    <t>Cubic inch</t>
  </si>
  <si>
    <t>KZT - Kazakstanian Tenge</t>
  </si>
  <si>
    <t>Kazakstanian Tenge</t>
  </si>
  <si>
    <t>MOP</t>
  </si>
  <si>
    <t>IND</t>
  </si>
  <si>
    <t>LAK - Laotian Kip</t>
  </si>
  <si>
    <t>Laotian Kip</t>
  </si>
  <si>
    <t>MRU</t>
  </si>
  <si>
    <t>LBP - Lebanese Pound</t>
  </si>
  <si>
    <t>Lebanese Pound</t>
  </si>
  <si>
    <t>MUR</t>
  </si>
  <si>
    <t>YR</t>
  </si>
  <si>
    <t>LKR - Sri Lankan Rupee</t>
  </si>
  <si>
    <t>Sri Lankan Rupee</t>
  </si>
  <si>
    <t>MVR</t>
  </si>
  <si>
    <t>JKG</t>
  </si>
  <si>
    <t>LRD - Liberian Dollar</t>
  </si>
  <si>
    <t>Liberian Dollar</t>
  </si>
  <si>
    <t>MWK</t>
  </si>
  <si>
    <t>JM3</t>
  </si>
  <si>
    <t>LSL - Lesotho Loti</t>
  </si>
  <si>
    <t>Lesotho Loti</t>
  </si>
  <si>
    <t>MXN</t>
  </si>
  <si>
    <t>JMO</t>
  </si>
  <si>
    <t>LTL</t>
  </si>
  <si>
    <t>LTL - Lithuanian Lita</t>
  </si>
  <si>
    <t>Lithuanian Lita</t>
  </si>
  <si>
    <t>MXV</t>
  </si>
  <si>
    <t>LUF</t>
  </si>
  <si>
    <t>LUF - Luxembourg Franc</t>
  </si>
  <si>
    <t>Luxembourg Franc</t>
  </si>
  <si>
    <t>MYR</t>
  </si>
  <si>
    <t>JOM</t>
  </si>
  <si>
    <t>LVL</t>
  </si>
  <si>
    <t>LVL - Latvian Lat</t>
  </si>
  <si>
    <t>Latvian Lat</t>
  </si>
  <si>
    <t>MZN</t>
  </si>
  <si>
    <t>JR</t>
  </si>
  <si>
    <t>LYD - Libyan Dinar</t>
  </si>
  <si>
    <t>Libyan Dinar</t>
  </si>
  <si>
    <t>NAD</t>
  </si>
  <si>
    <t>MAD - Moroccan Dirham</t>
  </si>
  <si>
    <t>Moroccan Dirham</t>
  </si>
  <si>
    <t>NGN</t>
  </si>
  <si>
    <t>JUM</t>
  </si>
  <si>
    <t>MDL - Moldavian Leu</t>
  </si>
  <si>
    <t>Moldavian Leu</t>
  </si>
  <si>
    <t>NIO</t>
  </si>
  <si>
    <t>MGF</t>
  </si>
  <si>
    <t>MGF - Madagascan Franc</t>
  </si>
  <si>
    <t>Madagascan Franc</t>
  </si>
  <si>
    <t>NOK</t>
  </si>
  <si>
    <t>MKD - Macedonian Denar</t>
  </si>
  <si>
    <t>Macedonian Denar</t>
  </si>
  <si>
    <t>NPR</t>
  </si>
  <si>
    <t>MMK - Myanmar Kyat</t>
  </si>
  <si>
    <t>Myanmar Kyat</t>
  </si>
  <si>
    <t>NZD</t>
  </si>
  <si>
    <t>KGM</t>
  </si>
  <si>
    <t>MNT - Mongolian Tugrik</t>
  </si>
  <si>
    <t>Mongolian Tugrik</t>
  </si>
  <si>
    <t>OMR</t>
  </si>
  <si>
    <t>MOP - Macao Pataca</t>
  </si>
  <si>
    <t>Macao Pataca</t>
  </si>
  <si>
    <t>PAB</t>
  </si>
  <si>
    <t>KGV</t>
  </si>
  <si>
    <t>MRO</t>
  </si>
  <si>
    <t>MRO - Mauritanian Ouguiya</t>
  </si>
  <si>
    <t>Mauritanian Ouguiya</t>
  </si>
  <si>
    <t>PEN</t>
  </si>
  <si>
    <t>KAI</t>
  </si>
  <si>
    <t>MTL</t>
  </si>
  <si>
    <t>MTL - Maltese Lira</t>
  </si>
  <si>
    <t>Maltese Lira</t>
  </si>
  <si>
    <t>PGK</t>
  </si>
  <si>
    <t>CRT</t>
  </si>
  <si>
    <t>MUR - Mauritian Rupee</t>
  </si>
  <si>
    <t>Mauritian Rupee</t>
  </si>
  <si>
    <t>PHP</t>
  </si>
  <si>
    <t>MVR - Maldive Rufiyaa</t>
  </si>
  <si>
    <t>Maldive Rufiyaa</t>
  </si>
  <si>
    <t>PKR</t>
  </si>
  <si>
    <t>KJK</t>
  </si>
  <si>
    <t>MWK - Malawi Kwacha</t>
  </si>
  <si>
    <t>Malawi Kwacha</t>
  </si>
  <si>
    <t>PLN</t>
  </si>
  <si>
    <t>KJM</t>
  </si>
  <si>
    <t>MXN - Mexican Pesos</t>
  </si>
  <si>
    <t>Mexican Pesos</t>
  </si>
  <si>
    <t>PYG</t>
  </si>
  <si>
    <t>KKH</t>
  </si>
  <si>
    <t>MYR - Malaysian Ringgit</t>
  </si>
  <si>
    <t>Malaysian Ringgit</t>
  </si>
  <si>
    <t>QAR</t>
  </si>
  <si>
    <t>KM</t>
  </si>
  <si>
    <t>MZM</t>
  </si>
  <si>
    <t>MZM - Mozambique Metical</t>
  </si>
  <si>
    <t>Mozambique Metical</t>
  </si>
  <si>
    <t>RON</t>
  </si>
  <si>
    <t>KM2</t>
  </si>
  <si>
    <t>MZN - Mozambique Metical</t>
  </si>
  <si>
    <t>RSD</t>
  </si>
  <si>
    <t>KM3</t>
  </si>
  <si>
    <t>NAD - Namibian Dollar</t>
  </si>
  <si>
    <t>Namibian Dollar</t>
  </si>
  <si>
    <t>RUB</t>
  </si>
  <si>
    <t>KMH</t>
  </si>
  <si>
    <t>NGN - Nigerian Naira</t>
  </si>
  <si>
    <t>Nigerian Naira</t>
  </si>
  <si>
    <t>RWF</t>
  </si>
  <si>
    <t>KMN</t>
  </si>
  <si>
    <t>NIO - Nicaraguan Cordoba Oro</t>
  </si>
  <si>
    <t>Nicaraguan Cordoba Oro</t>
  </si>
  <si>
    <t>SAR</t>
  </si>
  <si>
    <t>KMS</t>
  </si>
  <si>
    <t>NLG</t>
  </si>
  <si>
    <t>NLG - Dutch Guilder</t>
  </si>
  <si>
    <t>Dutch Guilder</t>
  </si>
  <si>
    <t>SBD</t>
  </si>
  <si>
    <t>KNM</t>
  </si>
  <si>
    <t>NOK - Norwegian Krone</t>
  </si>
  <si>
    <t>Norwegian Krone</t>
  </si>
  <si>
    <t>SCR</t>
  </si>
  <si>
    <t>KPA</t>
  </si>
  <si>
    <t>NPR - Nepalese Rupee</t>
  </si>
  <si>
    <t>Nepalese Rupee</t>
  </si>
  <si>
    <t>SDG</t>
  </si>
  <si>
    <t>KT</t>
  </si>
  <si>
    <t>NZD - New Zealand Dollars</t>
  </si>
  <si>
    <t>New Zealand Dollars</t>
  </si>
  <si>
    <t>SEK</t>
  </si>
  <si>
    <t>KVA</t>
  </si>
  <si>
    <t>OMR - Omani Rial</t>
  </si>
  <si>
    <t>Omani Rial</t>
  </si>
  <si>
    <t>SGD</t>
  </si>
  <si>
    <t>PAB - Panamanian Balboa</t>
  </si>
  <si>
    <t>Panamanian Balboa</t>
  </si>
  <si>
    <t>SHP</t>
  </si>
  <si>
    <t>KIK</t>
  </si>
  <si>
    <t>PEN - Peruvian New Sol</t>
  </si>
  <si>
    <t>Peruvian New Sol</t>
  </si>
  <si>
    <t>SLL</t>
  </si>
  <si>
    <t>PGK - Papua New Guinea Kina</t>
  </si>
  <si>
    <t>Papua New Guinea Kina</t>
  </si>
  <si>
    <t>SOS</t>
  </si>
  <si>
    <t>L12</t>
  </si>
  <si>
    <t>PHP - Philippine Peso</t>
  </si>
  <si>
    <t>Philippine Peso</t>
  </si>
  <si>
    <t>SRD</t>
  </si>
  <si>
    <t>L15</t>
  </si>
  <si>
    <t>PKR - Pakistani Rupee</t>
  </si>
  <si>
    <t>Pakistani Rupee</t>
  </si>
  <si>
    <t>SSP</t>
  </si>
  <si>
    <t>LMI</t>
  </si>
  <si>
    <t>PLN - Polish Zloty (new)</t>
  </si>
  <si>
    <t>Polish Zloty (new)</t>
  </si>
  <si>
    <t>STN</t>
  </si>
  <si>
    <t>L60</t>
  </si>
  <si>
    <t>PTE</t>
  </si>
  <si>
    <t>PTE - Portuguese Escudo</t>
  </si>
  <si>
    <t>Portuguese Escudo</t>
  </si>
  <si>
    <t>SVC</t>
  </si>
  <si>
    <t>PYG - Paraguayan Guarani</t>
  </si>
  <si>
    <t>Paraguayan Guarani</t>
  </si>
  <si>
    <t>SYP</t>
  </si>
  <si>
    <t>LBM</t>
  </si>
  <si>
    <t>QAR - Qatar Riyal</t>
  </si>
  <si>
    <t>Qatar Riyal</t>
  </si>
  <si>
    <t>TJS</t>
  </si>
  <si>
    <t>LHK</t>
  </si>
  <si>
    <t>RMB</t>
  </si>
  <si>
    <t>RMB - Chinese Yuan Renminbi</t>
  </si>
  <si>
    <t>Chinese Yuan Renminbi</t>
  </si>
  <si>
    <t>TMT</t>
  </si>
  <si>
    <t>LI</t>
  </si>
  <si>
    <t>ROL</t>
  </si>
  <si>
    <t>ROL - Romanian Leu</t>
  </si>
  <si>
    <t>Romanian Leu</t>
  </si>
  <si>
    <t>TND</t>
  </si>
  <si>
    <t>LMS</t>
  </si>
  <si>
    <t>RUB - Russian Ruble</t>
  </si>
  <si>
    <t>Russian Ruble</t>
  </si>
  <si>
    <t>TOP</t>
  </si>
  <si>
    <t>RWF - Rwandan Franc</t>
  </si>
  <si>
    <t>Rwandan Franc</t>
  </si>
  <si>
    <t>TRY</t>
  </si>
  <si>
    <t>LPH</t>
  </si>
  <si>
    <t>SAR - Saudi Riyal</t>
  </si>
  <si>
    <t>Saudi Riyal</t>
  </si>
  <si>
    <t>TTD</t>
  </si>
  <si>
    <t>SBD - Solomon Islands Dollar</t>
  </si>
  <si>
    <t>Solomon Islands Dollar</t>
  </si>
  <si>
    <t>TWD</t>
  </si>
  <si>
    <t>LTO</t>
  </si>
  <si>
    <t>SCR - Seychelles Rupee</t>
  </si>
  <si>
    <t>Seychelles Rupee</t>
  </si>
  <si>
    <t>TZS</t>
  </si>
  <si>
    <t>SDP</t>
  </si>
  <si>
    <t>SDP - Sudanese Pound</t>
  </si>
  <si>
    <t>Sudanese Pound</t>
  </si>
  <si>
    <t>UAH</t>
  </si>
  <si>
    <t>M/F</t>
  </si>
  <si>
    <t>SEK - Swedish Krona</t>
  </si>
  <si>
    <t>Swedish Krona</t>
  </si>
  <si>
    <t>UGX</t>
  </si>
  <si>
    <t>M/S</t>
  </si>
  <si>
    <t>SGD - Singapore Dollar</t>
  </si>
  <si>
    <t>Singapore Dollar</t>
  </si>
  <si>
    <t>USD</t>
  </si>
  <si>
    <t>SHP - St.Helena Pound</t>
  </si>
  <si>
    <t>St.Helena Pound</t>
  </si>
  <si>
    <t>USN</t>
  </si>
  <si>
    <t>M2D</t>
  </si>
  <si>
    <t>SIT</t>
  </si>
  <si>
    <t>SIT - Slovenian Tolar</t>
  </si>
  <si>
    <t>Slovenian Tolar</t>
  </si>
  <si>
    <t>UYI</t>
  </si>
  <si>
    <t>M-2</t>
  </si>
  <si>
    <t>SKK</t>
  </si>
  <si>
    <t>SKK - Slovakian Krona</t>
  </si>
  <si>
    <t>Slovakian Krona</t>
  </si>
  <si>
    <t>UYU</t>
  </si>
  <si>
    <t>M2S</t>
  </si>
  <si>
    <t>SLL - Sierra Leone Leone</t>
  </si>
  <si>
    <t>Sierra Leone Leone</t>
  </si>
  <si>
    <t>UYW</t>
  </si>
  <si>
    <t>SOS - Somalian Shilling</t>
  </si>
  <si>
    <t>Somalian Shilling</t>
  </si>
  <si>
    <t>UZS</t>
  </si>
  <si>
    <t>M3D</t>
  </si>
  <si>
    <t>SRG</t>
  </si>
  <si>
    <t>SRG - Surinam Guilder</t>
  </si>
  <si>
    <t>Surinam Guilder</t>
  </si>
  <si>
    <t>VED</t>
  </si>
  <si>
    <t>M3M</t>
  </si>
  <si>
    <t>STD - Sao Tome / Principe Dobra</t>
  </si>
  <si>
    <t>Sao Tome / Principe Dobra</t>
  </si>
  <si>
    <t>VES</t>
  </si>
  <si>
    <t>M3S</t>
  </si>
  <si>
    <t>SVC - El Salvador Colon</t>
  </si>
  <si>
    <t>El Salvador Colon</t>
  </si>
  <si>
    <t>VND</t>
  </si>
  <si>
    <t>MAM</t>
  </si>
  <si>
    <t>SYP - Syrian Pound</t>
  </si>
  <si>
    <t>Syrian Pound</t>
  </si>
  <si>
    <t>VUV</t>
  </si>
  <si>
    <t>MBD</t>
  </si>
  <si>
    <t>SZL</t>
  </si>
  <si>
    <t>SZL - Swaziland Lilangeni</t>
  </si>
  <si>
    <t>Swaziland Lilangeni</t>
  </si>
  <si>
    <t>WST</t>
  </si>
  <si>
    <t>MBT</t>
  </si>
  <si>
    <t>THB</t>
  </si>
  <si>
    <t>THB - Thailand Baht</t>
  </si>
  <si>
    <t>Thailand Baht</t>
  </si>
  <si>
    <t>XAF</t>
  </si>
  <si>
    <t>MBW</t>
  </si>
  <si>
    <t>TJR</t>
  </si>
  <si>
    <t>TJR - Tajikistani Ruble</t>
  </si>
  <si>
    <t>Tajikistani Ruble</t>
  </si>
  <si>
    <t>XAG</t>
  </si>
  <si>
    <t>MC1</t>
  </si>
  <si>
    <t>TMM</t>
  </si>
  <si>
    <t>TMM - Turkmenistani Manat</t>
  </si>
  <si>
    <t>Turkmenistani Manat</t>
  </si>
  <si>
    <t>XAU</t>
  </si>
  <si>
    <t>MC2</t>
  </si>
  <si>
    <t>TND - Tunisian Dinar</t>
  </si>
  <si>
    <t>Tunisian Dinar</t>
  </si>
  <si>
    <t>XBA</t>
  </si>
  <si>
    <t>MC3</t>
  </si>
  <si>
    <t>TOP - Tongan Pa'anga</t>
  </si>
  <si>
    <t>Tongan Pa'anga</t>
  </si>
  <si>
    <t>XBB</t>
  </si>
  <si>
    <t>MCD</t>
  </si>
  <si>
    <t>TPE</t>
  </si>
  <si>
    <t>TPE - Timor Escudo</t>
  </si>
  <si>
    <t>Timor Escudo</t>
  </si>
  <si>
    <t>XBC</t>
  </si>
  <si>
    <t>MCF</t>
  </si>
  <si>
    <t>TRL</t>
  </si>
  <si>
    <t>TRL - Turkish Lira</t>
  </si>
  <si>
    <t>Turkish Lira</t>
  </si>
  <si>
    <t>XBD</t>
  </si>
  <si>
    <t>MCM</t>
  </si>
  <si>
    <t>TRY - Turkish Lira</t>
  </si>
  <si>
    <t>XCD</t>
  </si>
  <si>
    <t>MDY</t>
  </si>
  <si>
    <t>TTD - Trinidad and Tobago Dollar</t>
  </si>
  <si>
    <t>Trinidad and Tobago Dollar</t>
  </si>
  <si>
    <t>XDR</t>
  </si>
  <si>
    <t>MEJ</t>
  </si>
  <si>
    <t>TWD - New Taiwan Dollar</t>
  </si>
  <si>
    <t>New Taiwan Dollar</t>
  </si>
  <si>
    <t>XOF</t>
  </si>
  <si>
    <t>MG</t>
  </si>
  <si>
    <t>TZS - Tanzanian Shilling</t>
  </si>
  <si>
    <t>Tanzanian Shilling</t>
  </si>
  <si>
    <t>XPD</t>
  </si>
  <si>
    <t>MGL</t>
  </si>
  <si>
    <t>UAH - Ukraine Hryvnia</t>
  </si>
  <si>
    <t>Ukraine Hryvnia</t>
  </si>
  <si>
    <t>XPF</t>
  </si>
  <si>
    <t>MGQ</t>
  </si>
  <si>
    <t>UGX - Ugandan Shilling</t>
  </si>
  <si>
    <t>Ugandan Shilling</t>
  </si>
  <si>
    <t>XUA</t>
  </si>
  <si>
    <t>MIL</t>
  </si>
  <si>
    <t>United States Dollar</t>
  </si>
  <si>
    <t>YER</t>
  </si>
  <si>
    <t>MIN</t>
  </si>
  <si>
    <t>UYU - Uruguayan Peso (new)</t>
  </si>
  <si>
    <t>Uruguayan Peso (new)</t>
  </si>
  <si>
    <t>ZAR</t>
  </si>
  <si>
    <t>MIS</t>
  </si>
  <si>
    <t>UZS - Uzbekistan Som</t>
  </si>
  <si>
    <t>Uzbekistan Som</t>
  </si>
  <si>
    <t>ZMW</t>
  </si>
  <si>
    <t>MJM</t>
  </si>
  <si>
    <t>VEB</t>
  </si>
  <si>
    <t>VEB - Venezuelan Bolivar</t>
  </si>
  <si>
    <t>Venezuelan Bolivar</t>
  </si>
  <si>
    <t>ZWL</t>
  </si>
  <si>
    <t>ML</t>
  </si>
  <si>
    <t>VND - Vietnamese Dong</t>
  </si>
  <si>
    <t>Vietnamese Dong</t>
  </si>
  <si>
    <t>MLI</t>
  </si>
  <si>
    <t>VUV - Vanuatu Vatu</t>
  </si>
  <si>
    <t>Vanuatu Vatu</t>
  </si>
  <si>
    <t>WST - Samoan Tala</t>
  </si>
  <si>
    <t>Samoan Tala</t>
  </si>
  <si>
    <t>XAF - Gabon CFA Franc BEAC</t>
  </si>
  <si>
    <t>Gabon CFA Franc BEAC</t>
  </si>
  <si>
    <t>MMM</t>
  </si>
  <si>
    <t>XCD - East Carribean Dollar</t>
  </si>
  <si>
    <t>East Carribean Dollar</t>
  </si>
  <si>
    <t>MM3</t>
  </si>
  <si>
    <t>XDS</t>
  </si>
  <si>
    <t>XDS - St. Christopher Dollar</t>
  </si>
  <si>
    <t>St. Christopher Dollar</t>
  </si>
  <si>
    <t>MNM</t>
  </si>
  <si>
    <t>XEU</t>
  </si>
  <si>
    <t>XEU - European Currency Unit (E.C.U.)</t>
  </si>
  <si>
    <t>European Currency Unit (E.C.U.)</t>
  </si>
  <si>
    <t>MOM</t>
  </si>
  <si>
    <t>XOF - Benin CFA Franc BCEAO</t>
  </si>
  <si>
    <t>Benin CFA Franc BCEAO</t>
  </si>
  <si>
    <t>XPF - CFP Franc</t>
  </si>
  <si>
    <t>CFP Franc</t>
  </si>
  <si>
    <t>MPG</t>
  </si>
  <si>
    <t>YER - Yemeni Ryal</t>
  </si>
  <si>
    <t>Yemeni Ryal</t>
  </si>
  <si>
    <t>MPS</t>
  </si>
  <si>
    <t>YUM</t>
  </si>
  <si>
    <t>YUM - New Yugoslavian Dinar</t>
  </si>
  <si>
    <t>New Yugoslavian Dinar</t>
  </si>
  <si>
    <t>M3H</t>
  </si>
  <si>
    <t>ZAR - South African Rand</t>
  </si>
  <si>
    <t>South African Rand</t>
  </si>
  <si>
    <t>MS</t>
  </si>
  <si>
    <t>ZMK</t>
  </si>
  <si>
    <t>ZMK - Zambian Kwacha</t>
  </si>
  <si>
    <t>Zambian Kwacha</t>
  </si>
  <si>
    <t>MS2</t>
  </si>
  <si>
    <t>ZRN</t>
  </si>
  <si>
    <t>ZRN - Zaire</t>
  </si>
  <si>
    <t>Zaire</t>
  </si>
  <si>
    <t>M/H</t>
  </si>
  <si>
    <t>ZWD</t>
  </si>
  <si>
    <t>ZWD - Zimbabwean Dollar</t>
  </si>
  <si>
    <t>Zimbabwean Dollar</t>
  </si>
  <si>
    <t>PCT</t>
  </si>
  <si>
    <t>MWH</t>
  </si>
  <si>
    <t>NAM</t>
  </si>
  <si>
    <t>NM</t>
  </si>
  <si>
    <t>NRT</t>
  </si>
  <si>
    <t>NS</t>
  </si>
  <si>
    <t>FOZ</t>
  </si>
  <si>
    <t>P</t>
  </si>
  <si>
    <t>PAL</t>
  </si>
  <si>
    <t>PAS</t>
  </si>
  <si>
    <t>PMI</t>
  </si>
  <si>
    <t>PPB</t>
  </si>
  <si>
    <t>PPM</t>
  </si>
  <si>
    <t>PPT</t>
  </si>
  <si>
    <t>PRS</t>
  </si>
  <si>
    <t>PS</t>
  </si>
  <si>
    <t>PSL</t>
  </si>
  <si>
    <t>PT</t>
  </si>
  <si>
    <t>PTB</t>
  </si>
  <si>
    <t>QLY</t>
  </si>
  <si>
    <t>QMM</t>
  </si>
  <si>
    <t>QT</t>
  </si>
  <si>
    <t>RDA</t>
  </si>
  <si>
    <t>RDW</t>
  </si>
  <si>
    <t>RHO</t>
  </si>
  <si>
    <t>RM</t>
  </si>
  <si>
    <t>RPM</t>
  </si>
  <si>
    <t>SKB</t>
  </si>
  <si>
    <t>SKG</t>
  </si>
  <si>
    <t>SKO</t>
  </si>
  <si>
    <t>SKP</t>
  </si>
  <si>
    <t>SKR</t>
  </si>
  <si>
    <t>SM3</t>
  </si>
  <si>
    <t>STO</t>
  </si>
  <si>
    <t>STP</t>
  </si>
  <si>
    <t>TBD</t>
  </si>
  <si>
    <t>TBL</t>
  </si>
  <si>
    <t>TS</t>
  </si>
  <si>
    <t>TIN</t>
  </si>
  <si>
    <t>TRP</t>
  </si>
  <si>
    <t>UG6</t>
  </si>
  <si>
    <t>UGL</t>
  </si>
  <si>
    <t>MSC</t>
  </si>
  <si>
    <t>MPL</t>
  </si>
  <si>
    <t>VAL</t>
  </si>
  <si>
    <t>VDY</t>
  </si>
  <si>
    <t>VL</t>
  </si>
  <si>
    <t>YD2</t>
  </si>
  <si>
    <t>YD3</t>
  </si>
  <si>
    <t>REV.1</t>
  </si>
  <si>
    <t>O RING-FLOATING BALL VALVE 3" CLASS-150 RB RF
(Set consists of - Pos 8 - 1 PC, Pos 14 - 1 PC)</t>
  </si>
  <si>
    <t>FIRE SAFE SEAL-TMBV 3" x 2" CLASS-900 RB RF
(Set consists of 2 PC)</t>
  </si>
  <si>
    <t>O RING-TMBV 3" x 2" CLASS-900 RB RF
(Set consists of - Pos 16 - 2 PC, Pos 17 - 2 PC, Pos 18 - 2 PC &amp; Pos 19 - 1 PC)</t>
  </si>
  <si>
    <t xml:space="preserve">FIRE SAFE SEAL-TMBV 6"  x 4" CLASS-900 RB RF
(Set consists of 2 PC) </t>
  </si>
  <si>
    <t>FIRE SAFE SEAL-TMBV 6"  x 4" CLASS-900 RB RF
(Set consists of 2 PC)</t>
  </si>
  <si>
    <t>O RING-TMBV 6"  x 4" CLASS-900 RB RF
(Set consists of - Pos 16 - 2 PC, Pos 17 - 2 PC, Pos 18 - 2 PC &amp; Pos 19 - 1 PC)</t>
  </si>
  <si>
    <t>O RING-TMBV  8"  x 6" CLASS-900 RB RF
(Set consists of - Pos 16 - 2 PC, Pos 17 - 2 PC, Pos 18 - 2 PC &amp; Pos 19 - 1 PC)</t>
  </si>
  <si>
    <t>FIRE SAFE SEAL-TMBV  8"  x 6" CLASS-900 RB RF
(Set consists of 2 PC)</t>
  </si>
  <si>
    <t>FIRE SAFE SEAL-TMBV  10" x 8" CLASS-900 RB RF
(Set consists of 2 PC)</t>
  </si>
  <si>
    <t>O RING-TMBV  10" x 8" CLASS-900 RB RF
(Set consists of - Pos 16 - 2 PC, Pos 17 - 2 PC, Pos 18 - 2 PC &amp; Pos 19 - 1 PC)</t>
  </si>
  <si>
    <t>ORD-22205-002-14 (POS.10)</t>
  </si>
  <si>
    <t>ORD-22205-210-SPG-10</t>
  </si>
  <si>
    <t>PACKING-FLOATING BALL VALVE 3" CLASS-150 RB RF</t>
  </si>
  <si>
    <t>PACKING-FLOATING BALL VALVE 3" CLASS-300 RB RF
(Set consists of 3 PC)</t>
  </si>
  <si>
    <t>STEM PACKING-GATE VALVE NPS 6" CLASS 900 RF
(Set consists of 6 PC)</t>
  </si>
  <si>
    <t>STEM PACKING-GATE VALVE NPS 8"  CLASS 900 RF
(Set consists of 6 PC)</t>
  </si>
  <si>
    <t>STEM PACKING-GATE VALVE NPS 10" CLASS 900 RF
(Set consists of 6 PC)</t>
  </si>
  <si>
    <t>STEM PACKING-GATE VALVE NPS 14" CLASS 900 RF
(Set consists of 6 PC)</t>
  </si>
  <si>
    <t>STEM PACKING-GATE VALVE NPS 6" CLASS 300 RF
(Set consists of 6 PC)</t>
  </si>
  <si>
    <t>STEM PACKING-GLOBE VALVE NPS 4" CLASS 300 RF
(Set consists of 6 PC)</t>
  </si>
  <si>
    <t xml:space="preserve">Model Number </t>
  </si>
  <si>
    <t>VC900BB</t>
  </si>
  <si>
    <r>
      <t>REMINDER</t>
    </r>
    <r>
      <rPr>
        <sz val="9"/>
        <color indexed="32"/>
        <rFont val="Small Fonts"/>
        <family val="2"/>
      </rPr>
      <t xml:space="preserve">  MANUFACTURER TO ATTACH TO THIS FORM ALL DRAWINGS AND PARTS LISTS INCLUDING</t>
    </r>
  </si>
  <si>
    <t>PROJECT/PLANT  : DPFU 1B</t>
  </si>
  <si>
    <t>VEN-4460-DGEN-5-43-0305   (Normal)
                            Rev.1</t>
  </si>
  <si>
    <t>VEN-4460-DGEN-5-43-0305      (Normal)
                              Rev.1</t>
  </si>
  <si>
    <t>VEN-4460-DGEN-5-43-0305  (Normal)
                      Rev.1</t>
  </si>
  <si>
    <r>
      <t>REMINDER</t>
    </r>
    <r>
      <rPr>
        <sz val="8"/>
        <color indexed="32"/>
        <rFont val="Small Fonts"/>
        <family val="2"/>
      </rPr>
      <t xml:space="preserve">  MANUFACTURER TO ATTACH TO THIS FORM ALL DRAWINGS AND PARTS LISTS INCLUDING</t>
    </r>
  </si>
  <si>
    <t>23.12.2025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</si>
</sst>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76">
    <font>
      <sz val="10"/>
      <name val="Arial"/>
    </font>
    <font>
      <sz val="11"/>
      <color theme="1"/>
      <name val="Calibri"/>
      <family val="2"/>
      <scheme val="minor"/>
    </font>
    <font>
      <sz val="11"/>
      <color theme="1"/>
      <name val="Calibri"/>
      <family val="2"/>
      <scheme val="minor"/>
    </font>
    <font>
      <sz val="11"/>
      <color theme="1"/>
      <name val="Calibri"/>
      <family val="2"/>
      <scheme val="minor"/>
    </font>
    <font>
      <sz val="10"/>
      <color indexed="10"/>
      <name val="Arial"/>
      <family val="2"/>
    </font>
    <font>
      <sz val="4"/>
      <color indexed="10"/>
      <name val="Small Fonts"/>
      <family val="2"/>
    </font>
    <font>
      <sz val="5"/>
      <color indexed="10"/>
      <name val="Small Fonts"/>
      <family val="2"/>
    </font>
    <font>
      <sz val="8"/>
      <color indexed="10"/>
      <name val="Arial"/>
      <family val="2"/>
    </font>
    <font>
      <sz val="5"/>
      <color indexed="10"/>
      <name val="Small Fonts"/>
    </font>
    <font>
      <b/>
      <sz val="8"/>
      <color indexed="10"/>
      <name val="Arial"/>
      <family val="2"/>
    </font>
    <font>
      <sz val="3"/>
      <color indexed="10"/>
      <name val="Small Fonts"/>
      <family val="2"/>
    </font>
    <font>
      <sz val="6"/>
      <color indexed="10"/>
      <name val="Small Fonts"/>
      <family val="2"/>
    </font>
    <font>
      <sz val="5"/>
      <color indexed="62"/>
      <name val="Small Fonts"/>
      <family val="2"/>
    </font>
    <font>
      <b/>
      <sz val="12"/>
      <color indexed="17"/>
      <name val="Arial"/>
      <family val="2"/>
    </font>
    <font>
      <b/>
      <u/>
      <sz val="6.5"/>
      <color indexed="32"/>
      <name val="Small Fonts"/>
      <family val="2"/>
    </font>
    <font>
      <sz val="6.5"/>
      <color indexed="32"/>
      <name val="Small Fonts"/>
      <family val="2"/>
    </font>
    <font>
      <b/>
      <sz val="6.5"/>
      <color indexed="32"/>
      <name val="Small Fonts"/>
      <family val="2"/>
    </font>
    <font>
      <b/>
      <sz val="8"/>
      <color indexed="48"/>
      <name val="Desdemona"/>
    </font>
    <font>
      <b/>
      <u/>
      <sz val="8"/>
      <color indexed="48"/>
      <name val="Desdemona"/>
    </font>
    <font>
      <b/>
      <sz val="14"/>
      <color indexed="61"/>
      <name val="Map Symbols"/>
    </font>
    <font>
      <b/>
      <sz val="10"/>
      <color indexed="10"/>
      <name val="Arial"/>
      <family val="2"/>
    </font>
    <font>
      <sz val="10"/>
      <name val="Arial"/>
      <family val="2"/>
    </font>
    <font>
      <sz val="5"/>
      <color indexed="10"/>
      <name val="Arial"/>
      <family val="2"/>
    </font>
    <font>
      <sz val="3"/>
      <color indexed="10"/>
      <name val="Arial"/>
      <family val="2"/>
    </font>
    <font>
      <sz val="5.5"/>
      <color indexed="10"/>
      <name val="Arial"/>
      <family val="2"/>
    </font>
    <font>
      <sz val="4"/>
      <color indexed="10"/>
      <name val="Arial"/>
      <family val="2"/>
    </font>
    <font>
      <b/>
      <sz val="5"/>
      <color indexed="10"/>
      <name val="Arial"/>
      <family val="2"/>
    </font>
    <font>
      <b/>
      <u/>
      <sz val="5"/>
      <color rgb="FFFF0000"/>
      <name val="Arial"/>
      <family val="2"/>
    </font>
    <font>
      <b/>
      <sz val="5"/>
      <color rgb="FFFF0000"/>
      <name val="Arial"/>
      <family val="2"/>
    </font>
    <font>
      <sz val="5"/>
      <color rgb="FFFF0000"/>
      <name val="Arial"/>
      <family val="2"/>
    </font>
    <font>
      <b/>
      <i/>
      <u/>
      <sz val="5"/>
      <color indexed="10"/>
      <name val="Arial"/>
      <family val="2"/>
    </font>
    <font>
      <sz val="9"/>
      <color indexed="81"/>
      <name val="Tahoma"/>
      <family val="2"/>
    </font>
    <font>
      <sz val="3"/>
      <color rgb="FFFF0000"/>
      <name val="Arial"/>
      <family val="2"/>
    </font>
    <font>
      <sz val="5"/>
      <color indexed="81"/>
      <name val="Arial"/>
      <family val="2"/>
    </font>
    <font>
      <sz val="8"/>
      <name val="Arial"/>
      <family val="2"/>
    </font>
    <font>
      <sz val="8"/>
      <color indexed="8"/>
      <name val="Arial"/>
      <family val="2"/>
    </font>
    <font>
      <sz val="10"/>
      <name val="Arial"/>
      <family val="2"/>
      <charset val="162"/>
    </font>
    <font>
      <sz val="10"/>
      <name val="Times New Roman"/>
      <family val="1"/>
    </font>
    <font>
      <sz val="8"/>
      <color theme="1"/>
      <name val="Arial"/>
      <family val="2"/>
    </font>
    <font>
      <sz val="8"/>
      <color indexed="10"/>
      <name val="Small Fonts"/>
      <family val="2"/>
    </font>
    <font>
      <sz val="6"/>
      <color indexed="10"/>
      <name val="Arial"/>
      <family val="2"/>
    </font>
    <font>
      <sz val="7"/>
      <color indexed="10"/>
      <name val="Arial"/>
      <family val="2"/>
    </font>
    <font>
      <sz val="8"/>
      <color rgb="FF000000"/>
      <name val="Arial"/>
      <family val="2"/>
    </font>
    <font>
      <sz val="4"/>
      <color indexed="10"/>
      <name val="Small Fonts"/>
    </font>
    <font>
      <b/>
      <sz val="5"/>
      <color indexed="10"/>
      <name val="Small Fonts"/>
    </font>
    <font>
      <b/>
      <sz val="4"/>
      <color indexed="10"/>
      <name val="Small Fonts"/>
    </font>
    <font>
      <b/>
      <sz val="8"/>
      <color indexed="10"/>
      <name val="Small Fonts"/>
      <family val="2"/>
    </font>
    <font>
      <b/>
      <sz val="8"/>
      <color indexed="32"/>
      <name val="Lucida Handwriting"/>
      <family val="4"/>
    </font>
    <font>
      <b/>
      <sz val="8"/>
      <color indexed="10"/>
      <name val="Lucida Handwriting"/>
      <family val="4"/>
    </font>
    <font>
      <b/>
      <sz val="8"/>
      <color indexed="50"/>
      <name val="Lucida Handwriting"/>
      <family val="4"/>
    </font>
    <font>
      <sz val="14"/>
      <color theme="1"/>
      <name val="Calibri"/>
      <family val="2"/>
      <scheme val="minor"/>
    </font>
    <font>
      <sz val="11"/>
      <name val="Calibri"/>
      <family val="2"/>
      <scheme val="minor"/>
    </font>
    <font>
      <sz val="12"/>
      <name val="Calibri"/>
      <family val="2"/>
      <scheme val="minor"/>
    </font>
    <font>
      <b/>
      <i/>
      <u/>
      <sz val="11"/>
      <color theme="1"/>
      <name val="Calibri"/>
      <family val="2"/>
      <scheme val="minor"/>
    </font>
    <font>
      <b/>
      <sz val="12"/>
      <color theme="0"/>
      <name val="Calibri"/>
      <family val="2"/>
      <scheme val="minor"/>
    </font>
    <font>
      <sz val="8"/>
      <color rgb="FF000000"/>
      <name val="Segoe UI"/>
      <family val="2"/>
    </font>
    <font>
      <sz val="9"/>
      <color indexed="10"/>
      <name val="Arial"/>
      <family val="2"/>
    </font>
    <font>
      <sz val="9"/>
      <color indexed="10"/>
      <name val="Small Fonts"/>
      <family val="2"/>
    </font>
    <font>
      <b/>
      <u/>
      <sz val="9"/>
      <color indexed="32"/>
      <name val="Small Fonts"/>
      <family val="2"/>
    </font>
    <font>
      <sz val="9"/>
      <color indexed="32"/>
      <name val="Small Fonts"/>
      <family val="2"/>
    </font>
    <font>
      <b/>
      <sz val="9"/>
      <color indexed="32"/>
      <name val="Small Fonts"/>
      <family val="2"/>
    </font>
    <font>
      <b/>
      <u/>
      <sz val="8"/>
      <color indexed="32"/>
      <name val="Small Fonts"/>
      <family val="2"/>
    </font>
    <font>
      <sz val="8"/>
      <color indexed="32"/>
      <name val="Small Fonts"/>
      <family val="2"/>
    </font>
    <font>
      <b/>
      <sz val="8"/>
      <color indexed="32"/>
      <name val="Small Fonts"/>
      <family val="2"/>
    </font>
    <font>
      <sz val="10"/>
      <color indexed="10"/>
      <name val="Calibri"/>
      <family val="2"/>
      <scheme val="minor"/>
    </font>
    <font>
      <sz val="10"/>
      <name val="Calibri"/>
      <family val="2"/>
      <scheme val="minor"/>
    </font>
    <font>
      <sz val="10"/>
      <color theme="1"/>
      <name val="Calibri"/>
      <family val="2"/>
      <scheme val="minor"/>
    </font>
    <font>
      <sz val="10"/>
      <color rgb="FF000000"/>
      <name val="Calibri"/>
      <family val="2"/>
      <scheme val="minor"/>
    </font>
    <font>
      <sz val="10"/>
      <color indexed="8"/>
      <name val="Calibri"/>
      <family val="2"/>
      <scheme val="minor"/>
    </font>
    <font>
      <b/>
      <sz val="10"/>
      <color rgb="FFFF0000"/>
      <name val="Calibri"/>
      <family val="2"/>
      <scheme val="minor"/>
    </font>
    <font>
      <sz val="10"/>
      <color indexed="10"/>
      <name val="Aptos Display"/>
      <family val="2"/>
    </font>
    <font>
      <sz val="10"/>
      <name val="Aptos Display"/>
      <family val="2"/>
    </font>
    <font>
      <sz val="10"/>
      <color theme="1"/>
      <name val="Aptos Display"/>
      <family val="2"/>
    </font>
    <font>
      <sz val="10"/>
      <color rgb="FF000000"/>
      <name val="Aptos Display"/>
      <family val="2"/>
    </font>
    <font>
      <sz val="10"/>
      <color rgb="FFFF0000"/>
      <name val="Aptos Display"/>
      <family val="2"/>
    </font>
    <font>
      <sz val="10"/>
      <color indexed="8"/>
      <name val="Aptos Display"/>
      <family val="2"/>
    </font>
  </fonts>
  <fills count="9">
    <fill>
      <patternFill patternType="none"/>
    </fill>
    <fill>
      <patternFill patternType="gray125"/>
    </fill>
    <fill>
      <patternFill patternType="solid">
        <fgColor indexed="9"/>
        <bgColor indexed="64"/>
      </patternFill>
    </fill>
    <fill>
      <patternFill patternType="gray0625">
        <bgColor indexed="9"/>
      </patternFill>
    </fill>
    <fill>
      <patternFill patternType="solid">
        <fgColor rgb="FFFFFF00"/>
        <bgColor indexed="64"/>
      </patternFill>
    </fill>
    <fill>
      <patternFill patternType="solid">
        <fgColor theme="9"/>
        <bgColor indexed="64"/>
      </patternFill>
    </fill>
    <fill>
      <patternFill patternType="lightTrellis">
        <bgColor indexed="9"/>
      </patternFill>
    </fill>
    <fill>
      <patternFill patternType="solid">
        <fgColor theme="0"/>
        <bgColor indexed="64"/>
      </patternFill>
    </fill>
    <fill>
      <patternFill patternType="solid">
        <fgColor theme="3"/>
        <bgColor indexed="64"/>
      </patternFill>
    </fill>
  </fills>
  <borders count="98">
    <border>
      <left/>
      <right/>
      <top/>
      <bottom/>
      <diagonal/>
    </border>
    <border>
      <left style="thick">
        <color indexed="64"/>
      </left>
      <right/>
      <top style="thick">
        <color indexed="64"/>
      </top>
      <bottom/>
      <diagonal/>
    </border>
    <border>
      <left style="thin">
        <color indexed="64"/>
      </left>
      <right style="medium">
        <color indexed="64"/>
      </right>
      <top style="thick">
        <color indexed="64"/>
      </top>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thick">
        <color indexed="64"/>
      </left>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ck">
        <color indexed="64"/>
      </left>
      <right/>
      <top/>
      <bottom style="medium">
        <color indexed="64"/>
      </bottom>
      <diagonal/>
    </border>
    <border>
      <left style="thin">
        <color indexed="64"/>
      </left>
      <right style="medium">
        <color indexed="64"/>
      </right>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ck">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ck">
        <color indexed="64"/>
      </left>
      <right style="thin">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thin">
        <color indexed="64"/>
      </left>
      <right style="medium">
        <color indexed="64"/>
      </right>
      <top/>
      <bottom style="thick">
        <color indexed="64"/>
      </bottom>
      <diagonal/>
    </border>
    <border>
      <left style="medium">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right/>
      <top/>
      <bottom style="thick">
        <color indexed="64"/>
      </bottom>
      <diagonal/>
    </border>
    <border>
      <left style="thin">
        <color indexed="64"/>
      </left>
      <right style="thick">
        <color indexed="64"/>
      </right>
      <top style="medium">
        <color indexed="64"/>
      </top>
      <bottom style="thin">
        <color indexed="64"/>
      </bottom>
      <diagonal/>
    </border>
    <border>
      <left/>
      <right style="thick">
        <color indexed="64"/>
      </right>
      <top style="thick">
        <color indexed="64"/>
      </top>
      <bottom style="medium">
        <color indexed="64"/>
      </bottom>
      <diagonal/>
    </border>
    <border>
      <left/>
      <right style="thick">
        <color indexed="64"/>
      </right>
      <top style="medium">
        <color indexed="64"/>
      </top>
      <bottom style="medium">
        <color indexed="64"/>
      </bottom>
      <diagonal/>
    </border>
    <border>
      <left/>
      <right style="thick">
        <color indexed="64"/>
      </right>
      <top style="medium">
        <color indexed="64"/>
      </top>
      <bottom/>
      <diagonal/>
    </border>
    <border>
      <left/>
      <right style="thick">
        <color indexed="64"/>
      </right>
      <top/>
      <bottom/>
      <diagonal/>
    </border>
    <border>
      <left/>
      <right style="thick">
        <color indexed="64"/>
      </right>
      <top/>
      <bottom style="thick">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ck">
        <color indexed="64"/>
      </left>
      <right style="thin">
        <color indexed="64"/>
      </right>
      <top/>
      <bottom style="thick">
        <color indexed="64"/>
      </bottom>
      <diagonal/>
    </border>
    <border>
      <left/>
      <right/>
      <top style="thick">
        <color indexed="64"/>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thin">
        <color indexed="64"/>
      </top>
      <bottom style="thick">
        <color indexed="64"/>
      </bottom>
      <diagonal/>
    </border>
    <border>
      <left/>
      <right style="thick">
        <color indexed="64"/>
      </right>
      <top style="thin">
        <color indexed="64"/>
      </top>
      <bottom style="thick">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thick">
        <color indexed="64"/>
      </bottom>
      <diagonal/>
    </border>
    <border>
      <left style="thin">
        <color indexed="64"/>
      </left>
      <right/>
      <top style="thick">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top style="thick">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medium">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right/>
      <top style="thin">
        <color indexed="64"/>
      </top>
      <bottom/>
      <diagonal/>
    </border>
    <border>
      <left style="thin">
        <color indexed="64"/>
      </left>
      <right/>
      <top/>
      <bottom style="thin">
        <color indexed="64"/>
      </bottom>
      <diagonal/>
    </border>
    <border>
      <left style="hair">
        <color indexed="64"/>
      </left>
      <right style="hair">
        <color indexed="64"/>
      </right>
      <top style="hair">
        <color indexed="64"/>
      </top>
      <bottom style="hair">
        <color indexed="64"/>
      </bottom>
      <diagonal/>
    </border>
  </borders>
  <cellStyleXfs count="9">
    <xf numFmtId="0" fontId="0" fillId="0" borderId="0"/>
    <xf numFmtId="0" fontId="21" fillId="0" borderId="0"/>
    <xf numFmtId="44" fontId="21" fillId="0" borderId="0" applyFont="0" applyFill="0" applyBorder="0" applyAlignment="0" applyProtection="0"/>
    <xf numFmtId="0" fontId="21" fillId="0" borderId="0"/>
    <xf numFmtId="0" fontId="36" fillId="0" borderId="0"/>
    <xf numFmtId="0" fontId="37" fillId="0" borderId="0"/>
    <xf numFmtId="0" fontId="3" fillId="0" borderId="0"/>
    <xf numFmtId="0" fontId="2" fillId="0" borderId="0"/>
    <xf numFmtId="0" fontId="1" fillId="0" borderId="0"/>
  </cellStyleXfs>
  <cellXfs count="471">
    <xf numFmtId="0" fontId="0" fillId="0" borderId="0" xfId="0"/>
    <xf numFmtId="0" fontId="4" fillId="2" borderId="1" xfId="0" applyFont="1" applyFill="1" applyBorder="1"/>
    <xf numFmtId="0" fontId="12" fillId="2" borderId="4" xfId="0" applyFont="1" applyFill="1" applyBorder="1" applyAlignment="1">
      <alignment horizontal="centerContinuous" vertical="center" wrapText="1"/>
    </xf>
    <xf numFmtId="0" fontId="12" fillId="2" borderId="5" xfId="0" applyFont="1" applyFill="1" applyBorder="1" applyAlignment="1">
      <alignment horizontal="centerContinuous" vertical="center" wrapText="1"/>
    </xf>
    <xf numFmtId="0" fontId="4" fillId="2" borderId="6" xfId="0" applyFont="1" applyFill="1" applyBorder="1"/>
    <xf numFmtId="0" fontId="8" fillId="3" borderId="12" xfId="0" applyFont="1" applyFill="1" applyBorder="1" applyAlignment="1">
      <alignment horizontal="center" vertical="center" wrapText="1"/>
    </xf>
    <xf numFmtId="0" fontId="6" fillId="3" borderId="10" xfId="0" applyFont="1" applyFill="1" applyBorder="1" applyAlignment="1">
      <alignment horizontal="centerContinuous" vertical="center" wrapText="1"/>
    </xf>
    <xf numFmtId="0" fontId="6" fillId="3" borderId="11" xfId="0" applyFont="1" applyFill="1" applyBorder="1" applyAlignment="1">
      <alignment horizontal="centerContinuous" vertical="center" wrapText="1"/>
    </xf>
    <xf numFmtId="0" fontId="4" fillId="2" borderId="13" xfId="0" applyFont="1" applyFill="1" applyBorder="1"/>
    <xf numFmtId="0" fontId="6" fillId="3" borderId="16" xfId="0" applyFont="1" applyFill="1" applyBorder="1" applyAlignment="1">
      <alignment horizontal="center" vertical="center" wrapText="1"/>
    </xf>
    <xf numFmtId="0" fontId="4" fillId="2" borderId="19" xfId="0" applyFont="1" applyFill="1" applyBorder="1"/>
    <xf numFmtId="0" fontId="6" fillId="3" borderId="23" xfId="0" applyFont="1" applyFill="1" applyBorder="1" applyAlignment="1">
      <alignment horizontal="left" vertical="center" wrapText="1"/>
    </xf>
    <xf numFmtId="0" fontId="4" fillId="2" borderId="13" xfId="0" applyFont="1" applyFill="1" applyBorder="1" applyAlignment="1">
      <alignment horizontal="center" vertical="top"/>
    </xf>
    <xf numFmtId="0" fontId="6" fillId="2" borderId="26" xfId="0" applyFont="1" applyFill="1" applyBorder="1" applyAlignment="1">
      <alignment horizontal="center" vertical="center" textRotation="90" wrapText="1"/>
    </xf>
    <xf numFmtId="0" fontId="10" fillId="2" borderId="26" xfId="0" applyFont="1" applyFill="1" applyBorder="1" applyAlignment="1">
      <alignment horizontal="center" vertical="center" textRotation="90" wrapText="1"/>
    </xf>
    <xf numFmtId="0" fontId="7" fillId="2" borderId="23" xfId="0" applyFont="1" applyFill="1" applyBorder="1" applyAlignment="1">
      <alignment horizontal="centerContinuous" vertical="center"/>
    </xf>
    <xf numFmtId="0" fontId="7" fillId="2" borderId="24" xfId="0" applyFont="1" applyFill="1" applyBorder="1" applyAlignment="1">
      <alignment horizontal="centerContinuous" vertical="center"/>
    </xf>
    <xf numFmtId="0" fontId="7" fillId="2" borderId="25" xfId="0" applyFont="1" applyFill="1" applyBorder="1" applyAlignment="1">
      <alignment horizontal="centerContinuous" vertical="center"/>
    </xf>
    <xf numFmtId="0" fontId="5" fillId="2" borderId="27" xfId="0" applyFont="1" applyFill="1" applyBorder="1" applyAlignment="1">
      <alignment horizontal="centerContinuous" vertical="center" wrapText="1"/>
    </xf>
    <xf numFmtId="0" fontId="5" fillId="2" borderId="28" xfId="0" applyFont="1" applyFill="1" applyBorder="1" applyAlignment="1">
      <alignment horizontal="centerContinuous" vertical="center" wrapText="1"/>
    </xf>
    <xf numFmtId="0" fontId="5" fillId="2" borderId="23" xfId="0" applyFont="1" applyFill="1" applyBorder="1" applyAlignment="1">
      <alignment horizontal="centerContinuous" vertical="center" wrapText="1"/>
    </xf>
    <xf numFmtId="0" fontId="5" fillId="2" borderId="25" xfId="0" applyFont="1" applyFill="1" applyBorder="1" applyAlignment="1">
      <alignment horizontal="centerContinuous" vertical="center" wrapText="1"/>
    </xf>
    <xf numFmtId="0" fontId="4" fillId="2" borderId="29" xfId="0" applyFont="1" applyFill="1" applyBorder="1" applyAlignment="1">
      <alignment horizontal="center" vertical="center"/>
    </xf>
    <xf numFmtId="0" fontId="7" fillId="2" borderId="33" xfId="0" applyFont="1" applyFill="1" applyBorder="1" applyAlignment="1">
      <alignment horizontal="center" vertical="center" wrapText="1"/>
    </xf>
    <xf numFmtId="0" fontId="7" fillId="3" borderId="33" xfId="0" applyFont="1" applyFill="1" applyBorder="1" applyAlignment="1">
      <alignment horizontal="center" vertical="center" wrapText="1"/>
    </xf>
    <xf numFmtId="0" fontId="4" fillId="2" borderId="34" xfId="0" applyFont="1" applyFill="1" applyBorder="1" applyAlignment="1">
      <alignment horizontal="center" vertical="center"/>
    </xf>
    <xf numFmtId="0" fontId="4" fillId="2" borderId="33" xfId="0" applyFont="1" applyFill="1" applyBorder="1" applyAlignment="1">
      <alignment horizontal="center" vertical="center"/>
    </xf>
    <xf numFmtId="0" fontId="4" fillId="3" borderId="33" xfId="0" applyFont="1" applyFill="1" applyBorder="1" applyAlignment="1">
      <alignment horizontal="center" vertical="center"/>
    </xf>
    <xf numFmtId="0" fontId="7" fillId="2" borderId="42" xfId="0" applyFont="1" applyFill="1" applyBorder="1" applyAlignment="1">
      <alignment horizontal="left" vertical="center"/>
    </xf>
    <xf numFmtId="0" fontId="7" fillId="2" borderId="16" xfId="0" applyFont="1" applyFill="1" applyBorder="1" applyAlignment="1">
      <alignment horizontal="left" vertical="center"/>
    </xf>
    <xf numFmtId="0" fontId="16" fillId="3" borderId="47" xfId="0" applyFont="1" applyFill="1" applyBorder="1" applyAlignment="1">
      <alignment horizontal="centerContinuous" vertical="center" wrapText="1"/>
    </xf>
    <xf numFmtId="0" fontId="19" fillId="2" borderId="3" xfId="0" applyFont="1" applyFill="1" applyBorder="1" applyAlignment="1">
      <alignment horizontal="centerContinuous" vertical="center" wrapText="1"/>
    </xf>
    <xf numFmtId="0" fontId="4" fillId="4" borderId="33" xfId="0" applyFont="1" applyFill="1" applyBorder="1" applyAlignment="1">
      <alignment horizontal="center" vertical="center"/>
    </xf>
    <xf numFmtId="0" fontId="7" fillId="4" borderId="33" xfId="0" applyFont="1" applyFill="1" applyBorder="1" applyAlignment="1">
      <alignment horizontal="center" vertical="center" wrapText="1"/>
    </xf>
    <xf numFmtId="0" fontId="0" fillId="5" borderId="39" xfId="0" applyFill="1" applyBorder="1"/>
    <xf numFmtId="0" fontId="0" fillId="0" borderId="39" xfId="0" applyBorder="1"/>
    <xf numFmtId="49" fontId="21" fillId="0" borderId="0" xfId="0" applyNumberFormat="1" applyFont="1"/>
    <xf numFmtId="0" fontId="21" fillId="0" borderId="0" xfId="0" applyFont="1"/>
    <xf numFmtId="0" fontId="21" fillId="0" borderId="39" xfId="0" applyFont="1" applyBorder="1"/>
    <xf numFmtId="0" fontId="4" fillId="4" borderId="35" xfId="0" applyFont="1" applyFill="1" applyBorder="1" applyAlignment="1">
      <alignment horizontal="center"/>
    </xf>
    <xf numFmtId="0" fontId="19" fillId="2" borderId="4" xfId="0" applyFont="1" applyFill="1" applyBorder="1" applyAlignment="1">
      <alignment horizontal="centerContinuous" vertical="center" wrapText="1"/>
    </xf>
    <xf numFmtId="0" fontId="22" fillId="2" borderId="33" xfId="0" applyFont="1" applyFill="1" applyBorder="1" applyAlignment="1">
      <alignment horizontal="center" vertical="center" wrapText="1"/>
    </xf>
    <xf numFmtId="0" fontId="22" fillId="4" borderId="33" xfId="0" applyFont="1" applyFill="1" applyBorder="1" applyAlignment="1">
      <alignment horizontal="center" vertical="center" wrapText="1"/>
    </xf>
    <xf numFmtId="0" fontId="24" fillId="2" borderId="33" xfId="0" applyFont="1" applyFill="1" applyBorder="1" applyAlignment="1">
      <alignment horizontal="center" vertical="center" wrapText="1"/>
    </xf>
    <xf numFmtId="0" fontId="25" fillId="2" borderId="33" xfId="0" applyFont="1" applyFill="1" applyBorder="1" applyAlignment="1">
      <alignment horizontal="center" textRotation="90" wrapText="1"/>
    </xf>
    <xf numFmtId="0" fontId="25" fillId="3" borderId="33" xfId="0" applyFont="1" applyFill="1" applyBorder="1" applyAlignment="1">
      <alignment horizontal="center" textRotation="90" wrapText="1"/>
    </xf>
    <xf numFmtId="0" fontId="22" fillId="4" borderId="33" xfId="0" applyFont="1" applyFill="1" applyBorder="1" applyAlignment="1">
      <alignment horizontal="center" vertical="center" textRotation="90" wrapText="1"/>
    </xf>
    <xf numFmtId="0" fontId="22" fillId="3" borderId="33" xfId="0" applyFont="1" applyFill="1" applyBorder="1" applyAlignment="1">
      <alignment horizontal="center" vertical="center" textRotation="90" wrapText="1"/>
    </xf>
    <xf numFmtId="0" fontId="26" fillId="3" borderId="10" xfId="0" applyFont="1" applyFill="1" applyBorder="1" applyAlignment="1">
      <alignment horizontal="centerContinuous" vertical="center" wrapText="1"/>
    </xf>
    <xf numFmtId="0" fontId="7" fillId="2" borderId="10" xfId="0" applyFont="1" applyFill="1" applyBorder="1" applyAlignment="1">
      <alignment horizontal="centerContinuous" vertical="center"/>
    </xf>
    <xf numFmtId="0" fontId="25" fillId="4" borderId="35" xfId="0" applyFont="1" applyFill="1" applyBorder="1" applyAlignment="1">
      <alignment horizontal="center" vertical="center" textRotation="90" wrapText="1"/>
    </xf>
    <xf numFmtId="0" fontId="8" fillId="3" borderId="10" xfId="0" applyFont="1" applyFill="1" applyBorder="1" applyAlignment="1" applyProtection="1">
      <alignment horizontal="center" vertical="center" wrapText="1"/>
      <protection locked="0"/>
    </xf>
    <xf numFmtId="0" fontId="6" fillId="3" borderId="17" xfId="0" applyFont="1" applyFill="1" applyBorder="1" applyAlignment="1" applyProtection="1">
      <alignment horizontal="center" vertical="center" wrapText="1"/>
      <protection locked="0"/>
    </xf>
    <xf numFmtId="0" fontId="6" fillId="3" borderId="18" xfId="0" applyFont="1" applyFill="1" applyBorder="1" applyAlignment="1" applyProtection="1">
      <alignment horizontal="center" vertical="center" wrapText="1"/>
      <protection locked="0"/>
    </xf>
    <xf numFmtId="0" fontId="6" fillId="3" borderId="24" xfId="0" applyFont="1" applyFill="1" applyBorder="1" applyAlignment="1" applyProtection="1">
      <alignment horizontal="left" vertical="center" wrapText="1"/>
      <protection locked="0"/>
    </xf>
    <xf numFmtId="0" fontId="6" fillId="3" borderId="25" xfId="0" applyFont="1" applyFill="1" applyBorder="1" applyAlignment="1" applyProtection="1">
      <alignment horizontal="left" vertical="center" wrapText="1"/>
      <protection locked="0"/>
    </xf>
    <xf numFmtId="0" fontId="9" fillId="4" borderId="16" xfId="0" applyFont="1" applyFill="1" applyBorder="1" applyAlignment="1">
      <alignment horizontal="left" vertical="center"/>
    </xf>
    <xf numFmtId="0" fontId="23" fillId="4" borderId="32" xfId="0" applyFont="1" applyFill="1" applyBorder="1" applyAlignment="1">
      <alignment horizontal="center" vertical="center" textRotation="90" wrapText="1"/>
    </xf>
    <xf numFmtId="0" fontId="35" fillId="0" borderId="39" xfId="1" applyFont="1" applyBorder="1" applyAlignment="1">
      <alignment horizontal="center" vertical="center"/>
    </xf>
    <xf numFmtId="0" fontId="38" fillId="0" borderId="39" xfId="1" applyFont="1" applyBorder="1" applyAlignment="1">
      <alignment horizontal="center" vertical="center" wrapText="1"/>
    </xf>
    <xf numFmtId="2" fontId="38" fillId="0" borderId="39" xfId="1" applyNumberFormat="1" applyFont="1" applyBorder="1" applyAlignment="1">
      <alignment horizontal="center" vertical="center" wrapText="1"/>
    </xf>
    <xf numFmtId="0" fontId="34" fillId="0" borderId="0" xfId="0" applyFont="1"/>
    <xf numFmtId="0" fontId="39" fillId="3" borderId="39" xfId="0" applyFont="1" applyFill="1" applyBorder="1" applyAlignment="1" applyProtection="1">
      <alignment horizontal="center" vertical="center" wrapText="1"/>
      <protection locked="0"/>
    </xf>
    <xf numFmtId="0" fontId="16" fillId="3" borderId="15" xfId="0" applyFont="1" applyFill="1" applyBorder="1" applyAlignment="1">
      <alignment horizontal="centerContinuous" vertical="center" wrapText="1"/>
    </xf>
    <xf numFmtId="0" fontId="38" fillId="0" borderId="49" xfId="1" applyFont="1" applyBorder="1" applyAlignment="1">
      <alignment horizontal="center" vertical="center" wrapText="1"/>
    </xf>
    <xf numFmtId="0" fontId="38" fillId="0" borderId="55" xfId="1" applyFont="1" applyBorder="1" applyAlignment="1">
      <alignment horizontal="center" vertical="center" wrapText="1"/>
    </xf>
    <xf numFmtId="0" fontId="7" fillId="2" borderId="15" xfId="0" applyFont="1" applyFill="1" applyBorder="1" applyAlignment="1" applyProtection="1">
      <alignment wrapText="1"/>
      <protection locked="0"/>
    </xf>
    <xf numFmtId="0" fontId="7" fillId="2" borderId="18" xfId="0" applyFont="1" applyFill="1" applyBorder="1" applyAlignment="1" applyProtection="1">
      <alignment wrapText="1"/>
      <protection locked="0"/>
    </xf>
    <xf numFmtId="0" fontId="34" fillId="0" borderId="39" xfId="0" applyFont="1" applyBorder="1" applyAlignment="1" applyProtection="1">
      <alignment horizontal="center" vertical="center"/>
      <protection locked="0"/>
    </xf>
    <xf numFmtId="0" fontId="38" fillId="0" borderId="40" xfId="1" applyFont="1" applyBorder="1" applyAlignment="1">
      <alignment horizontal="center" vertical="center" wrapText="1"/>
    </xf>
    <xf numFmtId="0" fontId="41" fillId="2" borderId="11" xfId="0" applyFont="1" applyFill="1" applyBorder="1" applyAlignment="1" applyProtection="1">
      <alignment wrapText="1"/>
      <protection locked="0"/>
    </xf>
    <xf numFmtId="0" fontId="42" fillId="0" borderId="56" xfId="0" applyFont="1" applyBorder="1" applyAlignment="1">
      <alignment horizontal="center" vertical="center" wrapText="1"/>
    </xf>
    <xf numFmtId="0" fontId="7" fillId="2" borderId="41" xfId="0" applyFont="1" applyFill="1" applyBorder="1" applyAlignment="1">
      <alignment horizontal="left" vertical="center" wrapText="1"/>
    </xf>
    <xf numFmtId="0" fontId="38" fillId="0" borderId="56" xfId="0" applyFont="1" applyBorder="1" applyAlignment="1">
      <alignment horizontal="center" vertical="center" wrapText="1"/>
    </xf>
    <xf numFmtId="0" fontId="39" fillId="2" borderId="39" xfId="0" applyFont="1" applyFill="1" applyBorder="1" applyAlignment="1" applyProtection="1">
      <alignment horizontal="center" vertical="center" wrapText="1"/>
      <protection locked="0"/>
    </xf>
    <xf numFmtId="0" fontId="20" fillId="4" borderId="3" xfId="0" applyFont="1" applyFill="1" applyBorder="1" applyAlignment="1">
      <alignment vertical="center"/>
    </xf>
    <xf numFmtId="0" fontId="34" fillId="0" borderId="55" xfId="0" applyFont="1" applyBorder="1" applyAlignment="1" applyProtection="1">
      <alignment horizontal="center" vertical="center"/>
      <protection locked="0"/>
    </xf>
    <xf numFmtId="0" fontId="34" fillId="2" borderId="55" xfId="0" applyFont="1" applyFill="1" applyBorder="1" applyAlignment="1">
      <alignment horizontal="center" vertical="center"/>
    </xf>
    <xf numFmtId="0" fontId="39" fillId="3" borderId="55" xfId="0" applyFont="1" applyFill="1" applyBorder="1" applyAlignment="1" applyProtection="1">
      <alignment horizontal="center" vertical="center" wrapText="1"/>
      <protection locked="0"/>
    </xf>
    <xf numFmtId="1" fontId="38" fillId="0" borderId="39" xfId="1" applyNumberFormat="1" applyFont="1" applyBorder="1" applyAlignment="1">
      <alignment horizontal="center" vertical="center" wrapText="1"/>
    </xf>
    <xf numFmtId="0" fontId="20" fillId="2" borderId="59" xfId="1" applyFont="1" applyFill="1" applyBorder="1" applyAlignment="1">
      <alignment horizontal="left" vertical="center"/>
    </xf>
    <xf numFmtId="0" fontId="4" fillId="2" borderId="59" xfId="1" applyFont="1" applyFill="1" applyBorder="1" applyAlignment="1">
      <alignment horizontal="left" vertical="center"/>
    </xf>
    <xf numFmtId="0" fontId="7" fillId="2" borderId="60" xfId="1" applyFont="1" applyFill="1" applyBorder="1" applyAlignment="1">
      <alignment horizontal="left" vertical="center"/>
    </xf>
    <xf numFmtId="0" fontId="21" fillId="0" borderId="0" xfId="1"/>
    <xf numFmtId="0" fontId="7" fillId="2" borderId="63" xfId="1" applyFont="1" applyFill="1" applyBorder="1" applyAlignment="1">
      <alignment horizontal="left" vertical="center"/>
    </xf>
    <xf numFmtId="0" fontId="7" fillId="2" borderId="64" xfId="1" applyFont="1" applyFill="1" applyBorder="1" applyAlignment="1">
      <alignment horizontal="left" vertical="center"/>
    </xf>
    <xf numFmtId="0" fontId="4" fillId="2" borderId="19" xfId="1" applyFont="1" applyFill="1" applyBorder="1"/>
    <xf numFmtId="0" fontId="7" fillId="2" borderId="65" xfId="1" applyFont="1" applyFill="1" applyBorder="1" applyAlignment="1">
      <alignment horizontal="left" vertical="center"/>
    </xf>
    <xf numFmtId="0" fontId="4" fillId="2" borderId="13" xfId="1" applyFont="1" applyFill="1" applyBorder="1" applyAlignment="1">
      <alignment horizontal="center" vertical="top"/>
    </xf>
    <xf numFmtId="0" fontId="21" fillId="3" borderId="10" xfId="1" applyFill="1" applyBorder="1"/>
    <xf numFmtId="0" fontId="21" fillId="3" borderId="52" xfId="1" applyFill="1" applyBorder="1"/>
    <xf numFmtId="0" fontId="4" fillId="2" borderId="29" xfId="1" applyFont="1" applyFill="1" applyBorder="1" applyAlignment="1">
      <alignment horizontal="center" vertical="center"/>
    </xf>
    <xf numFmtId="0" fontId="21" fillId="3" borderId="0" xfId="1" applyFill="1"/>
    <xf numFmtId="0" fontId="21" fillId="3" borderId="53" xfId="1" applyFill="1" applyBorder="1"/>
    <xf numFmtId="0" fontId="4" fillId="2" borderId="34" xfId="1" applyFont="1" applyFill="1" applyBorder="1" applyAlignment="1">
      <alignment horizontal="center" vertical="center"/>
    </xf>
    <xf numFmtId="0" fontId="4" fillId="2" borderId="36" xfId="1" applyFont="1" applyFill="1" applyBorder="1"/>
    <xf numFmtId="0" fontId="9" fillId="2" borderId="33" xfId="1" applyFont="1" applyFill="1" applyBorder="1" applyAlignment="1">
      <alignment horizontal="center" vertical="center"/>
    </xf>
    <xf numFmtId="0" fontId="4" fillId="2" borderId="38" xfId="1" applyFont="1" applyFill="1" applyBorder="1"/>
    <xf numFmtId="0" fontId="7" fillId="2" borderId="68" xfId="1" applyFont="1" applyFill="1" applyBorder="1"/>
    <xf numFmtId="0" fontId="7" fillId="2" borderId="39" xfId="1" applyFont="1" applyFill="1" applyBorder="1"/>
    <xf numFmtId="0" fontId="7" fillId="2" borderId="68" xfId="1" applyFont="1" applyFill="1" applyBorder="1" applyAlignment="1">
      <alignment horizontal="center" vertical="center" textRotation="90"/>
    </xf>
    <xf numFmtId="0" fontId="7" fillId="2" borderId="39" xfId="1" applyFont="1" applyFill="1" applyBorder="1" applyAlignment="1">
      <alignment horizontal="center" vertical="center" textRotation="90"/>
    </xf>
    <xf numFmtId="0" fontId="7" fillId="2" borderId="69" xfId="1" applyFont="1" applyFill="1" applyBorder="1" applyAlignment="1">
      <alignment horizontal="center" vertical="center" textRotation="90"/>
    </xf>
    <xf numFmtId="0" fontId="7" fillId="2" borderId="68" xfId="1" applyFont="1" applyFill="1" applyBorder="1" applyAlignment="1">
      <alignment horizontal="center" textRotation="90"/>
    </xf>
    <xf numFmtId="0" fontId="7" fillId="2" borderId="39" xfId="1" applyFont="1" applyFill="1" applyBorder="1" applyAlignment="1">
      <alignment horizontal="center" textRotation="90"/>
    </xf>
    <xf numFmtId="0" fontId="7" fillId="2" borderId="68" xfId="1" applyFont="1" applyFill="1" applyBorder="1" applyAlignment="1">
      <alignment horizontal="center" vertical="top" textRotation="90"/>
    </xf>
    <xf numFmtId="0" fontId="7" fillId="2" borderId="39" xfId="1" applyFont="1" applyFill="1" applyBorder="1" applyAlignment="1">
      <alignment horizontal="center" vertical="top" textRotation="90"/>
    </xf>
    <xf numFmtId="0" fontId="4" fillId="2" borderId="38" xfId="1" applyFont="1" applyFill="1" applyBorder="1" applyAlignment="1">
      <alignment horizontal="center" vertical="center"/>
    </xf>
    <xf numFmtId="0" fontId="6" fillId="2" borderId="12" xfId="1" applyFont="1" applyFill="1" applyBorder="1" applyAlignment="1">
      <alignment horizontal="center" textRotation="90"/>
    </xf>
    <xf numFmtId="0" fontId="6" fillId="2" borderId="68" xfId="1" applyFont="1" applyFill="1" applyBorder="1" applyAlignment="1">
      <alignment horizontal="center" vertical="top" textRotation="90"/>
    </xf>
    <xf numFmtId="0" fontId="6" fillId="2" borderId="39" xfId="1" applyFont="1" applyFill="1" applyBorder="1" applyAlignment="1">
      <alignment horizontal="center" vertical="top" textRotation="90"/>
    </xf>
    <xf numFmtId="0" fontId="6" fillId="2" borderId="68" xfId="1" applyFont="1" applyFill="1" applyBorder="1" applyAlignment="1">
      <alignment horizontal="center" textRotation="90"/>
    </xf>
    <xf numFmtId="0" fontId="6" fillId="2" borderId="39" xfId="1" applyFont="1" applyFill="1" applyBorder="1" applyAlignment="1">
      <alignment horizontal="center" textRotation="90"/>
    </xf>
    <xf numFmtId="0" fontId="6" fillId="2" borderId="69" xfId="1" applyFont="1" applyFill="1" applyBorder="1" applyAlignment="1">
      <alignment horizontal="center" textRotation="90"/>
    </xf>
    <xf numFmtId="0" fontId="6" fillId="2" borderId="70" xfId="1" applyFont="1" applyFill="1" applyBorder="1" applyAlignment="1">
      <alignment horizontal="centerContinuous" vertical="center"/>
    </xf>
    <xf numFmtId="0" fontId="4" fillId="2" borderId="70" xfId="1" applyFont="1" applyFill="1" applyBorder="1"/>
    <xf numFmtId="0" fontId="4" fillId="2" borderId="71" xfId="1" applyFont="1" applyFill="1" applyBorder="1"/>
    <xf numFmtId="0" fontId="6" fillId="2" borderId="62" xfId="1" applyFont="1" applyFill="1" applyBorder="1" applyAlignment="1">
      <alignment horizontal="centerContinuous" vertical="center"/>
    </xf>
    <xf numFmtId="0" fontId="6" fillId="2" borderId="63" xfId="1" applyFont="1" applyFill="1" applyBorder="1" applyAlignment="1">
      <alignment horizontal="centerContinuous" vertical="center"/>
    </xf>
    <xf numFmtId="0" fontId="4" fillId="2" borderId="63" xfId="1" applyFont="1" applyFill="1" applyBorder="1"/>
    <xf numFmtId="0" fontId="4" fillId="2" borderId="64" xfId="1" applyFont="1" applyFill="1" applyBorder="1"/>
    <xf numFmtId="0" fontId="6" fillId="2" borderId="62" xfId="1" applyFont="1" applyFill="1" applyBorder="1" applyAlignment="1">
      <alignment horizontal="left" vertical="center"/>
    </xf>
    <xf numFmtId="0" fontId="6" fillId="2" borderId="63" xfId="1" applyFont="1" applyFill="1" applyBorder="1" applyAlignment="1">
      <alignment horizontal="left" vertical="center"/>
    </xf>
    <xf numFmtId="0" fontId="47" fillId="3" borderId="72" xfId="1" applyFont="1" applyFill="1" applyBorder="1" applyAlignment="1">
      <alignment horizontal="centerContinuous" wrapText="1"/>
    </xf>
    <xf numFmtId="0" fontId="46" fillId="3" borderId="73" xfId="1" applyFont="1" applyFill="1" applyBorder="1" applyAlignment="1">
      <alignment horizontal="centerContinuous" wrapText="1"/>
    </xf>
    <xf numFmtId="0" fontId="46" fillId="3" borderId="73" xfId="1" applyFont="1" applyFill="1" applyBorder="1" applyAlignment="1">
      <alignment horizontal="centerContinuous"/>
    </xf>
    <xf numFmtId="0" fontId="46" fillId="3" borderId="74" xfId="1" applyFont="1" applyFill="1" applyBorder="1" applyAlignment="1">
      <alignment horizontal="centerContinuous"/>
    </xf>
    <xf numFmtId="0" fontId="6" fillId="2" borderId="75" xfId="1" applyFont="1" applyFill="1" applyBorder="1" applyAlignment="1">
      <alignment horizontal="left" vertical="center"/>
    </xf>
    <xf numFmtId="0" fontId="6" fillId="2" borderId="73" xfId="1" applyFont="1" applyFill="1" applyBorder="1" applyAlignment="1">
      <alignment horizontal="left" vertical="center"/>
    </xf>
    <xf numFmtId="0" fontId="4" fillId="2" borderId="76" xfId="1" applyFont="1" applyFill="1" applyBorder="1"/>
    <xf numFmtId="0" fontId="4" fillId="2" borderId="1" xfId="1" applyFont="1" applyFill="1" applyBorder="1" applyAlignment="1">
      <alignment horizontal="center"/>
    </xf>
    <xf numFmtId="0" fontId="4" fillId="2" borderId="6" xfId="1" applyFont="1" applyFill="1" applyBorder="1" applyAlignment="1">
      <alignment horizontal="center"/>
    </xf>
    <xf numFmtId="0" fontId="4" fillId="2" borderId="13" xfId="1" applyFont="1" applyFill="1" applyBorder="1" applyAlignment="1">
      <alignment horizontal="center"/>
    </xf>
    <xf numFmtId="0" fontId="40" fillId="2" borderId="77" xfId="0" applyFont="1" applyFill="1" applyBorder="1" applyAlignment="1" applyProtection="1">
      <alignment vertical="center" textRotation="90" wrapText="1"/>
      <protection locked="0"/>
    </xf>
    <xf numFmtId="0" fontId="40" fillId="2" borderId="78" xfId="0" applyFont="1" applyFill="1" applyBorder="1" applyAlignment="1" applyProtection="1">
      <alignment vertical="center" textRotation="90" wrapText="1"/>
      <protection locked="0"/>
    </xf>
    <xf numFmtId="0" fontId="40" fillId="2" borderId="79" xfId="0" applyFont="1" applyFill="1" applyBorder="1" applyAlignment="1" applyProtection="1">
      <alignment vertical="center" textRotation="90" wrapText="1"/>
      <protection locked="0"/>
    </xf>
    <xf numFmtId="0" fontId="38" fillId="0" borderId="39" xfId="1" applyFont="1" applyBorder="1" applyAlignment="1">
      <alignment vertical="center" wrapText="1"/>
    </xf>
    <xf numFmtId="0" fontId="4" fillId="0" borderId="26" xfId="0" applyFont="1" applyBorder="1" applyAlignment="1">
      <alignment horizontal="center" vertical="center"/>
    </xf>
    <xf numFmtId="0" fontId="9" fillId="4" borderId="23" xfId="0" applyFont="1" applyFill="1" applyBorder="1" applyAlignment="1">
      <alignment vertical="center"/>
    </xf>
    <xf numFmtId="0" fontId="22" fillId="2" borderId="83" xfId="0" applyFont="1" applyFill="1" applyBorder="1" applyAlignment="1">
      <alignment horizontal="center" vertical="center" textRotation="90" wrapText="1"/>
    </xf>
    <xf numFmtId="0" fontId="6" fillId="2" borderId="18" xfId="0" applyFont="1" applyFill="1" applyBorder="1" applyAlignment="1">
      <alignment horizontal="center" vertical="center" textRotation="90" wrapText="1"/>
    </xf>
    <xf numFmtId="0" fontId="25" fillId="2" borderId="83" xfId="0" applyFont="1" applyFill="1" applyBorder="1" applyAlignment="1">
      <alignment horizontal="center" vertical="center" textRotation="90" wrapText="1"/>
    </xf>
    <xf numFmtId="0" fontId="4" fillId="2" borderId="25" xfId="0" applyFont="1" applyFill="1" applyBorder="1"/>
    <xf numFmtId="0" fontId="7" fillId="2" borderId="39" xfId="0" applyFont="1" applyFill="1" applyBorder="1" applyAlignment="1" applyProtection="1">
      <alignment horizontal="center" vertical="center"/>
      <protection locked="0"/>
    </xf>
    <xf numFmtId="0" fontId="34" fillId="2" borderId="39" xfId="0" applyFont="1" applyFill="1" applyBorder="1" applyAlignment="1" applyProtection="1">
      <alignment horizontal="center" vertical="center" wrapText="1"/>
      <protection locked="0"/>
    </xf>
    <xf numFmtId="0" fontId="39" fillId="2" borderId="57" xfId="0" applyFont="1" applyFill="1" applyBorder="1" applyAlignment="1" applyProtection="1">
      <alignment horizontal="center" vertical="center" wrapText="1"/>
      <protection locked="0"/>
    </xf>
    <xf numFmtId="0" fontId="5" fillId="6" borderId="85" xfId="1" applyFont="1" applyFill="1" applyBorder="1" applyAlignment="1">
      <alignment horizontal="center" vertical="center" wrapText="1"/>
    </xf>
    <xf numFmtId="0" fontId="5" fillId="6" borderId="42" xfId="1" applyFont="1" applyFill="1" applyBorder="1" applyAlignment="1">
      <alignment horizontal="center" vertical="center" wrapText="1"/>
    </xf>
    <xf numFmtId="0" fontId="5" fillId="6" borderId="86" xfId="1" applyFont="1" applyFill="1" applyBorder="1" applyAlignment="1">
      <alignment horizontal="center" vertical="center" wrapText="1"/>
    </xf>
    <xf numFmtId="0" fontId="5" fillId="6" borderId="87" xfId="1" applyFont="1" applyFill="1" applyBorder="1" applyAlignment="1">
      <alignment horizontal="center" vertical="center" wrapText="1"/>
    </xf>
    <xf numFmtId="0" fontId="6" fillId="6" borderId="42" xfId="1" applyFont="1" applyFill="1" applyBorder="1" applyAlignment="1">
      <alignment horizontal="center" vertical="center" wrapText="1"/>
    </xf>
    <xf numFmtId="0" fontId="5" fillId="6" borderId="67" xfId="1" applyFont="1" applyFill="1" applyBorder="1" applyAlignment="1">
      <alignment horizontal="center" vertical="center" wrapText="1"/>
    </xf>
    <xf numFmtId="0" fontId="20" fillId="2" borderId="63" xfId="1" applyFont="1" applyFill="1" applyBorder="1" applyAlignment="1">
      <alignment horizontal="left" vertical="center"/>
    </xf>
    <xf numFmtId="0" fontId="20" fillId="2" borderId="65" xfId="1" applyFont="1" applyFill="1" applyBorder="1" applyAlignment="1">
      <alignment horizontal="left" vertical="center"/>
    </xf>
    <xf numFmtId="0" fontId="4" fillId="2" borderId="55" xfId="1" applyFont="1" applyFill="1" applyBorder="1"/>
    <xf numFmtId="0" fontId="39" fillId="2" borderId="39" xfId="1" applyFont="1" applyFill="1" applyBorder="1" applyAlignment="1">
      <alignment horizontal="center" vertical="center" wrapText="1"/>
    </xf>
    <xf numFmtId="0" fontId="44" fillId="2" borderId="30" xfId="1" applyFont="1" applyFill="1" applyBorder="1" applyAlignment="1">
      <alignment horizontal="center" vertical="center" textRotation="90" wrapText="1"/>
    </xf>
    <xf numFmtId="0" fontId="45" fillId="2" borderId="31" xfId="1" applyFont="1" applyFill="1" applyBorder="1" applyAlignment="1">
      <alignment horizontal="center" vertical="center" textRotation="90" wrapText="1"/>
    </xf>
    <xf numFmtId="0" fontId="6" fillId="2" borderId="63" xfId="1" applyFont="1" applyFill="1" applyBorder="1" applyAlignment="1">
      <alignment horizontal="center" vertical="center"/>
    </xf>
    <xf numFmtId="0" fontId="7" fillId="2" borderId="63" xfId="1" applyFont="1" applyFill="1" applyBorder="1" applyAlignment="1">
      <alignment vertical="center"/>
    </xf>
    <xf numFmtId="0" fontId="7" fillId="2" borderId="73" xfId="1" applyFont="1" applyFill="1" applyBorder="1" applyAlignment="1">
      <alignment vertical="center"/>
    </xf>
    <xf numFmtId="0" fontId="34" fillId="2" borderId="39" xfId="1" applyFont="1" applyFill="1" applyBorder="1" applyAlignment="1">
      <alignment horizontal="center" vertical="center"/>
    </xf>
    <xf numFmtId="0" fontId="6" fillId="2" borderId="39" xfId="1" applyFont="1" applyFill="1" applyBorder="1" applyAlignment="1">
      <alignment horizontal="center" vertical="center" textRotation="90" wrapText="1"/>
    </xf>
    <xf numFmtId="0" fontId="7" fillId="2" borderId="39" xfId="1" applyFont="1" applyFill="1" applyBorder="1" applyAlignment="1">
      <alignment horizontal="center" vertical="center"/>
    </xf>
    <xf numFmtId="0" fontId="7" fillId="2" borderId="88" xfId="1" applyFont="1" applyFill="1" applyBorder="1" applyAlignment="1">
      <alignment horizontal="center" vertical="center"/>
    </xf>
    <xf numFmtId="0" fontId="7" fillId="2" borderId="55" xfId="1" applyFont="1" applyFill="1" applyBorder="1" applyAlignment="1">
      <alignment horizontal="center" vertical="center"/>
    </xf>
    <xf numFmtId="0" fontId="7" fillId="4" borderId="39" xfId="0" applyFont="1" applyFill="1" applyBorder="1" applyAlignment="1" applyProtection="1">
      <alignment horizontal="center" vertical="center" textRotation="90"/>
      <protection locked="0"/>
    </xf>
    <xf numFmtId="0" fontId="4" fillId="2" borderId="6" xfId="0" applyFont="1" applyFill="1" applyBorder="1" applyAlignment="1">
      <alignment horizontal="center"/>
    </xf>
    <xf numFmtId="0" fontId="50" fillId="0" borderId="0" xfId="8" applyFont="1" applyAlignment="1">
      <alignment vertical="center"/>
    </xf>
    <xf numFmtId="0" fontId="54" fillId="8" borderId="39" xfId="8" applyFont="1" applyFill="1" applyBorder="1" applyAlignment="1">
      <alignment horizontal="center" vertical="center"/>
    </xf>
    <xf numFmtId="0" fontId="54" fillId="8" borderId="39" xfId="8" applyFont="1" applyFill="1" applyBorder="1" applyAlignment="1">
      <alignment horizontal="center" vertical="center" wrapText="1"/>
    </xf>
    <xf numFmtId="0" fontId="51" fillId="0" borderId="39" xfId="8" applyFont="1" applyBorder="1" applyAlignment="1">
      <alignment horizontal="center" vertical="center" wrapText="1"/>
    </xf>
    <xf numFmtId="0" fontId="52" fillId="0" borderId="39" xfId="8" applyFont="1" applyBorder="1" applyAlignment="1">
      <alignment horizontal="center" vertical="center" wrapText="1"/>
    </xf>
    <xf numFmtId="0" fontId="51" fillId="0" borderId="39" xfId="8" applyFont="1" applyBorder="1" applyAlignment="1">
      <alignment horizontal="center" vertical="center"/>
    </xf>
    <xf numFmtId="0" fontId="51" fillId="0" borderId="0" xfId="8" applyFont="1" applyAlignment="1">
      <alignment vertical="center"/>
    </xf>
    <xf numFmtId="0" fontId="53" fillId="0" borderId="0" xfId="8" applyFont="1" applyAlignment="1">
      <alignment vertical="center"/>
    </xf>
    <xf numFmtId="0" fontId="53" fillId="7" borderId="0" xfId="8" applyFont="1" applyFill="1" applyAlignment="1">
      <alignment vertical="center"/>
    </xf>
    <xf numFmtId="0" fontId="1" fillId="0" borderId="0" xfId="8" applyAlignment="1">
      <alignment horizontal="center"/>
    </xf>
    <xf numFmtId="0" fontId="1" fillId="0" borderId="0" xfId="8"/>
    <xf numFmtId="0" fontId="9" fillId="2" borderId="26" xfId="1" applyFont="1" applyFill="1" applyBorder="1" applyAlignment="1">
      <alignment horizontal="center" vertical="center"/>
    </xf>
    <xf numFmtId="0" fontId="6" fillId="2" borderId="92" xfId="1" applyFont="1" applyFill="1" applyBorder="1" applyAlignment="1">
      <alignment horizontal="center" vertical="top" textRotation="90"/>
    </xf>
    <xf numFmtId="0" fontId="6" fillId="2" borderId="57" xfId="1" applyFont="1" applyFill="1" applyBorder="1" applyAlignment="1">
      <alignment horizontal="center" vertical="top" textRotation="90"/>
    </xf>
    <xf numFmtId="0" fontId="7" fillId="2" borderId="57" xfId="1" applyFont="1" applyFill="1" applyBorder="1" applyAlignment="1">
      <alignment horizontal="center" vertical="center"/>
    </xf>
    <xf numFmtId="0" fontId="34" fillId="2" borderId="57" xfId="1" applyFont="1" applyFill="1" applyBorder="1" applyAlignment="1">
      <alignment horizontal="center" vertical="center"/>
    </xf>
    <xf numFmtId="0" fontId="56" fillId="2" borderId="41" xfId="0" applyFont="1" applyFill="1" applyBorder="1" applyAlignment="1">
      <alignment horizontal="left" vertical="center" wrapText="1"/>
    </xf>
    <xf numFmtId="0" fontId="56" fillId="2" borderId="11" xfId="0" applyFont="1" applyFill="1" applyBorder="1" applyAlignment="1" applyProtection="1">
      <alignment wrapText="1"/>
      <protection locked="0"/>
    </xf>
    <xf numFmtId="0" fontId="57" fillId="2" borderId="41" xfId="0" applyFont="1" applyFill="1" applyBorder="1" applyAlignment="1">
      <alignment horizontal="centerContinuous" vertical="center"/>
    </xf>
    <xf numFmtId="0" fontId="57" fillId="2" borderId="10" xfId="0" applyFont="1" applyFill="1" applyBorder="1" applyAlignment="1">
      <alignment horizontal="centerContinuous" vertical="center"/>
    </xf>
    <xf numFmtId="0" fontId="56" fillId="2" borderId="42" xfId="0" applyFont="1" applyFill="1" applyBorder="1" applyAlignment="1">
      <alignment horizontal="left" vertical="center"/>
    </xf>
    <xf numFmtId="0" fontId="56" fillId="2" borderId="15" xfId="0" applyFont="1" applyFill="1" applyBorder="1" applyAlignment="1" applyProtection="1">
      <alignment wrapText="1"/>
      <protection locked="0"/>
    </xf>
    <xf numFmtId="0" fontId="57" fillId="2" borderId="42" xfId="0" applyFont="1" applyFill="1" applyBorder="1" applyAlignment="1">
      <alignment horizontal="centerContinuous" vertical="center"/>
    </xf>
    <xf numFmtId="0" fontId="57" fillId="2" borderId="0" xfId="0" applyFont="1" applyFill="1" applyAlignment="1">
      <alignment horizontal="centerContinuous" vertical="center"/>
    </xf>
    <xf numFmtId="0" fontId="56" fillId="2" borderId="16" xfId="0" applyFont="1" applyFill="1" applyBorder="1" applyAlignment="1">
      <alignment horizontal="left" vertical="center"/>
    </xf>
    <xf numFmtId="0" fontId="56" fillId="2" borderId="18" xfId="0" applyFont="1" applyFill="1" applyBorder="1" applyAlignment="1" applyProtection="1">
      <alignment wrapText="1"/>
      <protection locked="0"/>
    </xf>
    <xf numFmtId="0" fontId="58" fillId="3" borderId="42" xfId="0" applyFont="1" applyFill="1" applyBorder="1" applyAlignment="1">
      <alignment horizontal="centerContinuous" vertical="center" wrapText="1"/>
    </xf>
    <xf numFmtId="0" fontId="60" fillId="3" borderId="15" xfId="0" applyFont="1" applyFill="1" applyBorder="1" applyAlignment="1">
      <alignment horizontal="centerContinuous" vertical="center" wrapText="1"/>
    </xf>
    <xf numFmtId="0" fontId="57" fillId="2" borderId="42" xfId="0" applyFont="1" applyFill="1" applyBorder="1" applyAlignment="1">
      <alignment horizontal="left" vertical="center"/>
    </xf>
    <xf numFmtId="0" fontId="57" fillId="2" borderId="0" xfId="0" applyFont="1" applyFill="1" applyAlignment="1">
      <alignment horizontal="left" vertical="center"/>
    </xf>
    <xf numFmtId="0" fontId="56" fillId="2" borderId="0" xfId="0" applyFont="1" applyFill="1" applyAlignment="1" applyProtection="1">
      <alignment horizontal="center" vertical="center"/>
      <protection locked="0"/>
    </xf>
    <xf numFmtId="0" fontId="56" fillId="2" borderId="53" xfId="0" applyFont="1" applyFill="1" applyBorder="1" applyAlignment="1" applyProtection="1">
      <alignment horizontal="center" vertical="center"/>
      <protection locked="0"/>
    </xf>
    <xf numFmtId="0" fontId="59" fillId="3" borderId="46" xfId="0" applyFont="1" applyFill="1" applyBorder="1" applyAlignment="1">
      <alignment horizontal="centerContinuous" vertical="center" wrapText="1"/>
    </xf>
    <xf numFmtId="0" fontId="60" fillId="3" borderId="47" xfId="0" applyFont="1" applyFill="1" applyBorder="1" applyAlignment="1">
      <alignment horizontal="centerContinuous" vertical="center" wrapText="1"/>
    </xf>
    <xf numFmtId="0" fontId="57" fillId="2" borderId="46" xfId="0" applyFont="1" applyFill="1" applyBorder="1" applyAlignment="1">
      <alignment horizontal="left" vertical="center"/>
    </xf>
    <xf numFmtId="0" fontId="57" fillId="2" borderId="48" xfId="0" applyFont="1" applyFill="1" applyBorder="1" applyAlignment="1">
      <alignment horizontal="left" vertical="center"/>
    </xf>
    <xf numFmtId="0" fontId="39" fillId="2" borderId="41" xfId="0" applyFont="1" applyFill="1" applyBorder="1" applyAlignment="1">
      <alignment horizontal="centerContinuous" vertical="center"/>
    </xf>
    <xf numFmtId="0" fontId="39" fillId="2" borderId="10" xfId="0" applyFont="1" applyFill="1" applyBorder="1" applyAlignment="1">
      <alignment horizontal="centerContinuous" vertical="center"/>
    </xf>
    <xf numFmtId="0" fontId="39" fillId="2" borderId="42" xfId="0" applyFont="1" applyFill="1" applyBorder="1" applyAlignment="1">
      <alignment horizontal="centerContinuous" vertical="center"/>
    </xf>
    <xf numFmtId="0" fontId="39" fillId="2" borderId="0" xfId="0" applyFont="1" applyFill="1" applyAlignment="1">
      <alignment horizontal="centerContinuous" vertical="center"/>
    </xf>
    <xf numFmtId="0" fontId="39" fillId="2" borderId="42" xfId="0" applyFont="1" applyFill="1" applyBorder="1" applyAlignment="1">
      <alignment horizontal="left" vertical="center"/>
    </xf>
    <xf numFmtId="0" fontId="39" fillId="2" borderId="0" xfId="0" applyFont="1" applyFill="1" applyAlignment="1">
      <alignment horizontal="left" vertical="center"/>
    </xf>
    <xf numFmtId="0" fontId="7" fillId="2" borderId="0" xfId="0" applyFont="1" applyFill="1" applyAlignment="1" applyProtection="1">
      <alignment horizontal="center" vertical="center"/>
      <protection locked="0"/>
    </xf>
    <xf numFmtId="0" fontId="7" fillId="2" borderId="53" xfId="0" applyFont="1" applyFill="1" applyBorder="1" applyAlignment="1" applyProtection="1">
      <alignment horizontal="center" vertical="center"/>
      <protection locked="0"/>
    </xf>
    <xf numFmtId="0" fontId="39" fillId="2" borderId="46" xfId="0" applyFont="1" applyFill="1" applyBorder="1" applyAlignment="1">
      <alignment horizontal="left" vertical="center"/>
    </xf>
    <xf numFmtId="0" fontId="39" fillId="2" borderId="48" xfId="0" applyFont="1" applyFill="1" applyBorder="1" applyAlignment="1">
      <alignment horizontal="left" vertical="center"/>
    </xf>
    <xf numFmtId="0" fontId="7" fillId="2" borderId="11" xfId="0" applyFont="1" applyFill="1" applyBorder="1" applyAlignment="1" applyProtection="1">
      <alignment wrapText="1"/>
      <protection locked="0"/>
    </xf>
    <xf numFmtId="0" fontId="61" fillId="3" borderId="42" xfId="0" applyFont="1" applyFill="1" applyBorder="1" applyAlignment="1">
      <alignment horizontal="centerContinuous" vertical="center" wrapText="1"/>
    </xf>
    <xf numFmtId="0" fontId="63" fillId="3" borderId="15" xfId="0" applyFont="1" applyFill="1" applyBorder="1" applyAlignment="1">
      <alignment horizontal="centerContinuous" vertical="center" wrapText="1"/>
    </xf>
    <xf numFmtId="0" fontId="62" fillId="3" borderId="46" xfId="0" applyFont="1" applyFill="1" applyBorder="1" applyAlignment="1">
      <alignment horizontal="centerContinuous" vertical="center" wrapText="1"/>
    </xf>
    <xf numFmtId="0" fontId="63" fillId="3" borderId="47" xfId="0" applyFont="1" applyFill="1" applyBorder="1" applyAlignment="1">
      <alignment horizontal="centerContinuous" vertical="center" wrapText="1"/>
    </xf>
    <xf numFmtId="0" fontId="65" fillId="0" borderId="55" xfId="0" applyFont="1" applyBorder="1" applyAlignment="1" applyProtection="1">
      <alignment horizontal="center" vertical="center"/>
      <protection locked="0"/>
    </xf>
    <xf numFmtId="0" fontId="65" fillId="2" borderId="37" xfId="0" applyFont="1" applyFill="1" applyBorder="1" applyAlignment="1">
      <alignment horizontal="center" vertical="center"/>
    </xf>
    <xf numFmtId="0" fontId="66" fillId="0" borderId="37" xfId="1" applyFont="1" applyBorder="1" applyAlignment="1">
      <alignment horizontal="center" vertical="center" wrapText="1"/>
    </xf>
    <xf numFmtId="0" fontId="67" fillId="0" borderId="56" xfId="0" applyFont="1" applyBorder="1" applyAlignment="1">
      <alignment horizontal="center" vertical="center" wrapText="1"/>
    </xf>
    <xf numFmtId="0" fontId="65" fillId="2" borderId="21" xfId="0" applyFont="1" applyFill="1" applyBorder="1" applyAlignment="1" applyProtection="1">
      <alignment horizontal="center" vertical="center" wrapText="1"/>
      <protection locked="0"/>
    </xf>
    <xf numFmtId="0" fontId="66" fillId="0" borderId="55" xfId="1" applyFont="1" applyBorder="1" applyAlignment="1">
      <alignment horizontal="center" vertical="center" wrapText="1"/>
    </xf>
    <xf numFmtId="0" fontId="66" fillId="0" borderId="39" xfId="1" applyFont="1" applyBorder="1" applyAlignment="1">
      <alignment vertical="center" wrapText="1"/>
    </xf>
    <xf numFmtId="0" fontId="64" fillId="3" borderId="37" xfId="0" applyFont="1" applyFill="1" applyBorder="1" applyAlignment="1" applyProtection="1">
      <alignment horizontal="center" vertical="center" wrapText="1"/>
      <protection locked="0"/>
    </xf>
    <xf numFmtId="0" fontId="64" fillId="2" borderId="21" xfId="0" applyFont="1" applyFill="1" applyBorder="1" applyAlignment="1" applyProtection="1">
      <alignment horizontal="center" vertical="center" wrapText="1"/>
      <protection locked="0"/>
    </xf>
    <xf numFmtId="2" fontId="66" fillId="0" borderId="21" xfId="1" applyNumberFormat="1" applyFont="1" applyBorder="1" applyAlignment="1">
      <alignment horizontal="center" vertical="center" wrapText="1"/>
    </xf>
    <xf numFmtId="0" fontId="66" fillId="0" borderId="39" xfId="1" applyFont="1" applyBorder="1" applyAlignment="1">
      <alignment horizontal="center" vertical="center" wrapText="1"/>
    </xf>
    <xf numFmtId="0" fontId="64" fillId="2" borderId="57" xfId="0" applyFont="1" applyFill="1" applyBorder="1" applyAlignment="1" applyProtection="1">
      <alignment horizontal="center" vertical="center" wrapText="1"/>
      <protection locked="0"/>
    </xf>
    <xf numFmtId="0" fontId="66" fillId="0" borderId="49" xfId="1" applyFont="1" applyBorder="1" applyAlignment="1">
      <alignment horizontal="center" vertical="center" wrapText="1"/>
    </xf>
    <xf numFmtId="0" fontId="65" fillId="0" borderId="0" xfId="0" applyFont="1"/>
    <xf numFmtId="0" fontId="65" fillId="2" borderId="55" xfId="0" applyFont="1" applyFill="1" applyBorder="1" applyAlignment="1">
      <alignment horizontal="center" vertical="center"/>
    </xf>
    <xf numFmtId="0" fontId="65" fillId="2" borderId="39" xfId="0" applyFont="1" applyFill="1" applyBorder="1" applyAlignment="1" applyProtection="1">
      <alignment horizontal="center" vertical="center" wrapText="1"/>
      <protection locked="0"/>
    </xf>
    <xf numFmtId="0" fontId="64" fillId="3" borderId="55" xfId="0" applyFont="1" applyFill="1" applyBorder="1" applyAlignment="1" applyProtection="1">
      <alignment horizontal="center" vertical="center" wrapText="1"/>
      <protection locked="0"/>
    </xf>
    <xf numFmtId="0" fontId="64" fillId="2" borderId="39" xfId="0" applyFont="1" applyFill="1" applyBorder="1" applyAlignment="1" applyProtection="1">
      <alignment horizontal="center" vertical="center" wrapText="1"/>
      <protection locked="0"/>
    </xf>
    <xf numFmtId="2" fontId="66" fillId="0" borderId="39" xfId="1" applyNumberFormat="1" applyFont="1" applyBorder="1" applyAlignment="1">
      <alignment horizontal="center" vertical="center" wrapText="1"/>
    </xf>
    <xf numFmtId="0" fontId="65" fillId="0" borderId="39" xfId="0" applyFont="1" applyBorder="1" applyAlignment="1" applyProtection="1">
      <alignment horizontal="center" vertical="center"/>
      <protection locked="0"/>
    </xf>
    <xf numFmtId="0" fontId="65" fillId="2" borderId="39" xfId="0" applyFont="1" applyFill="1" applyBorder="1" applyAlignment="1">
      <alignment horizontal="center" vertical="center"/>
    </xf>
    <xf numFmtId="0" fontId="64" fillId="3" borderId="39" xfId="0" applyFont="1" applyFill="1" applyBorder="1" applyAlignment="1" applyProtection="1">
      <alignment horizontal="center" vertical="center" wrapText="1"/>
      <protection locked="0"/>
    </xf>
    <xf numFmtId="0" fontId="68" fillId="0" borderId="39" xfId="1" applyFont="1" applyBorder="1" applyAlignment="1">
      <alignment horizontal="center" vertical="center"/>
    </xf>
    <xf numFmtId="0" fontId="65" fillId="0" borderId="39" xfId="0" applyFont="1" applyBorder="1" applyAlignment="1">
      <alignment horizontal="center" vertical="center"/>
    </xf>
    <xf numFmtId="2" fontId="66" fillId="0" borderId="39" xfId="1" applyNumberFormat="1" applyFont="1" applyBorder="1" applyAlignment="1">
      <alignment vertical="center" wrapText="1"/>
    </xf>
    <xf numFmtId="2" fontId="66" fillId="0" borderId="55" xfId="1" applyNumberFormat="1" applyFont="1" applyBorder="1" applyAlignment="1">
      <alignment vertical="center" wrapText="1"/>
    </xf>
    <xf numFmtId="0" fontId="66" fillId="0" borderId="40" xfId="1" applyFont="1" applyBorder="1" applyAlignment="1">
      <alignment horizontal="center" vertical="center" wrapText="1"/>
    </xf>
    <xf numFmtId="0" fontId="65" fillId="2" borderId="55" xfId="0" applyFont="1" applyFill="1" applyBorder="1" applyAlignment="1" applyProtection="1">
      <alignment horizontal="center" vertical="center" wrapText="1"/>
      <protection locked="0"/>
    </xf>
    <xf numFmtId="1" fontId="66" fillId="0" borderId="39" xfId="1" applyNumberFormat="1" applyFont="1" applyBorder="1" applyAlignment="1">
      <alignment horizontal="center" vertical="center" wrapText="1"/>
    </xf>
    <xf numFmtId="0" fontId="4" fillId="2" borderId="19" xfId="0" applyFont="1" applyFill="1" applyBorder="1" applyAlignment="1">
      <alignment horizontal="center" vertical="center"/>
    </xf>
    <xf numFmtId="0" fontId="22" fillId="2" borderId="91" xfId="0" applyFont="1" applyFill="1" applyBorder="1" applyAlignment="1">
      <alignment horizontal="center" vertical="center" textRotation="90" wrapText="1"/>
    </xf>
    <xf numFmtId="0" fontId="7" fillId="4" borderId="57" xfId="0" applyFont="1" applyFill="1" applyBorder="1" applyAlignment="1" applyProtection="1">
      <alignment horizontal="center" vertical="center" textRotation="90"/>
      <protection locked="0"/>
    </xf>
    <xf numFmtId="0" fontId="6" fillId="2" borderId="15" xfId="0" applyFont="1" applyFill="1" applyBorder="1" applyAlignment="1">
      <alignment horizontal="center" vertical="center" textRotation="90" wrapText="1"/>
    </xf>
    <xf numFmtId="0" fontId="4" fillId="2" borderId="94" xfId="0" applyFont="1" applyFill="1" applyBorder="1" applyAlignment="1">
      <alignment horizontal="center" vertical="center"/>
    </xf>
    <xf numFmtId="0" fontId="7" fillId="2" borderId="31" xfId="0" applyFont="1" applyFill="1" applyBorder="1" applyAlignment="1" applyProtection="1">
      <alignment horizontal="center" vertical="center"/>
      <protection locked="0"/>
    </xf>
    <xf numFmtId="0" fontId="66" fillId="0" borderId="56" xfId="0" applyFont="1" applyBorder="1" applyAlignment="1">
      <alignment horizontal="left" vertical="center" wrapText="1"/>
    </xf>
    <xf numFmtId="0" fontId="67" fillId="0" borderId="56" xfId="0" applyFont="1" applyBorder="1" applyAlignment="1">
      <alignment horizontal="left" vertical="center" wrapText="1"/>
    </xf>
    <xf numFmtId="0" fontId="69" fillId="0" borderId="37" xfId="1" applyFont="1" applyBorder="1" applyAlignment="1">
      <alignment horizontal="center" vertical="center" wrapText="1"/>
    </xf>
    <xf numFmtId="0" fontId="69" fillId="0" borderId="39" xfId="1" applyFont="1" applyBorder="1" applyAlignment="1">
      <alignment horizontal="center" vertical="center"/>
    </xf>
    <xf numFmtId="0" fontId="6" fillId="2" borderId="0" xfId="1" applyFont="1" applyFill="1" applyAlignment="1">
      <alignment horizontal="center" vertical="center" textRotation="90" wrapText="1"/>
    </xf>
    <xf numFmtId="0" fontId="6" fillId="2" borderId="90" xfId="1" applyFont="1" applyFill="1" applyBorder="1" applyAlignment="1">
      <alignment horizontal="center" vertical="center" textRotation="90" wrapText="1"/>
    </xf>
    <xf numFmtId="0" fontId="6" fillId="0" borderId="95" xfId="1" applyFont="1" applyBorder="1" applyAlignment="1">
      <alignment horizontal="center" vertical="center" textRotation="90" wrapText="1"/>
    </xf>
    <xf numFmtId="0" fontId="6" fillId="0" borderId="0" xfId="1" applyFont="1" applyAlignment="1">
      <alignment horizontal="center" vertical="center" textRotation="90" wrapText="1"/>
    </xf>
    <xf numFmtId="0" fontId="39" fillId="2" borderId="96" xfId="1" applyFont="1" applyFill="1" applyBorder="1" applyAlignment="1">
      <alignment horizontal="center" vertical="center" wrapText="1"/>
    </xf>
    <xf numFmtId="0" fontId="4" fillId="2" borderId="55" xfId="1" applyFont="1" applyFill="1" applyBorder="1" applyAlignment="1">
      <alignment horizontal="center"/>
    </xf>
    <xf numFmtId="0" fontId="7" fillId="2" borderId="39" xfId="1" applyFont="1" applyFill="1" applyBorder="1" applyAlignment="1">
      <alignment horizontal="center"/>
    </xf>
    <xf numFmtId="0" fontId="46" fillId="3" borderId="73" xfId="1" applyFont="1" applyFill="1" applyBorder="1" applyAlignment="1">
      <alignment horizontal="center"/>
    </xf>
    <xf numFmtId="0" fontId="21" fillId="0" borderId="0" xfId="1" applyAlignment="1">
      <alignment horizontal="center"/>
    </xf>
    <xf numFmtId="0" fontId="7" fillId="2" borderId="39" xfId="1" applyFont="1" applyFill="1" applyBorder="1" applyAlignment="1">
      <alignment horizontal="center" vertical="top"/>
    </xf>
    <xf numFmtId="0" fontId="39" fillId="2" borderId="39" xfId="1" applyFont="1" applyFill="1" applyBorder="1" applyAlignment="1">
      <alignment horizontal="center"/>
    </xf>
    <xf numFmtId="0" fontId="39" fillId="2" borderId="39" xfId="1" applyFont="1" applyFill="1" applyBorder="1" applyAlignment="1">
      <alignment horizontal="center" vertical="top"/>
    </xf>
    <xf numFmtId="0" fontId="71" fillId="0" borderId="55" xfId="0" applyFont="1" applyBorder="1" applyAlignment="1" applyProtection="1">
      <alignment horizontal="center" vertical="center"/>
      <protection locked="0"/>
    </xf>
    <xf numFmtId="0" fontId="71" fillId="2" borderId="37" xfId="0" applyFont="1" applyFill="1" applyBorder="1" applyAlignment="1">
      <alignment horizontal="center" vertical="center"/>
    </xf>
    <xf numFmtId="0" fontId="72" fillId="0" borderId="37" xfId="1" applyFont="1" applyBorder="1" applyAlignment="1">
      <alignment horizontal="center" vertical="center" wrapText="1"/>
    </xf>
    <xf numFmtId="0" fontId="73" fillId="0" borderId="56" xfId="0" applyFont="1" applyBorder="1" applyAlignment="1">
      <alignment horizontal="center" vertical="center" wrapText="1"/>
    </xf>
    <xf numFmtId="0" fontId="71" fillId="2" borderId="39" xfId="0" applyFont="1" applyFill="1" applyBorder="1" applyAlignment="1" applyProtection="1">
      <alignment horizontal="center" vertical="center" wrapText="1"/>
      <protection locked="0"/>
    </xf>
    <xf numFmtId="0" fontId="72" fillId="0" borderId="55" xfId="1" applyFont="1" applyBorder="1" applyAlignment="1">
      <alignment horizontal="center" vertical="center" wrapText="1"/>
    </xf>
    <xf numFmtId="0" fontId="72" fillId="0" borderId="39" xfId="1" applyFont="1" applyBorder="1" applyAlignment="1">
      <alignment vertical="center" wrapText="1"/>
    </xf>
    <xf numFmtId="0" fontId="70" fillId="3" borderId="37" xfId="0" applyFont="1" applyFill="1" applyBorder="1" applyAlignment="1" applyProtection="1">
      <alignment horizontal="center" vertical="center" wrapText="1"/>
      <protection locked="0"/>
    </xf>
    <xf numFmtId="0" fontId="70" fillId="2" borderId="21" xfId="0" applyFont="1" applyFill="1" applyBorder="1" applyAlignment="1" applyProtection="1">
      <alignment horizontal="center" vertical="center" wrapText="1"/>
      <protection locked="0"/>
    </xf>
    <xf numFmtId="2" fontId="72" fillId="0" borderId="39" xfId="1" applyNumberFormat="1" applyFont="1" applyBorder="1" applyAlignment="1">
      <alignment horizontal="center" vertical="center" wrapText="1"/>
    </xf>
    <xf numFmtId="0" fontId="72" fillId="0" borderId="39" xfId="1" applyFont="1" applyBorder="1" applyAlignment="1">
      <alignment horizontal="center" vertical="center" wrapText="1"/>
    </xf>
    <xf numFmtId="0" fontId="70" fillId="2" borderId="57" xfId="0" applyFont="1" applyFill="1" applyBorder="1" applyAlignment="1" applyProtection="1">
      <alignment horizontal="center" vertical="center" wrapText="1"/>
      <protection locked="0"/>
    </xf>
    <xf numFmtId="0" fontId="72" fillId="0" borderId="49" xfId="1" applyFont="1" applyBorder="1" applyAlignment="1">
      <alignment horizontal="center" vertical="center" wrapText="1"/>
    </xf>
    <xf numFmtId="0" fontId="71" fillId="0" borderId="0" xfId="0" applyFont="1"/>
    <xf numFmtId="0" fontId="71" fillId="2" borderId="55" xfId="0" applyFont="1" applyFill="1" applyBorder="1" applyAlignment="1">
      <alignment horizontal="center" vertical="center"/>
    </xf>
    <xf numFmtId="0" fontId="70" fillId="3" borderId="55" xfId="0" applyFont="1" applyFill="1" applyBorder="1" applyAlignment="1" applyProtection="1">
      <alignment horizontal="center" vertical="center" wrapText="1"/>
      <protection locked="0"/>
    </xf>
    <xf numFmtId="0" fontId="70" fillId="2" borderId="39" xfId="0" applyFont="1" applyFill="1" applyBorder="1" applyAlignment="1" applyProtection="1">
      <alignment horizontal="center" vertical="center" wrapText="1"/>
      <protection locked="0"/>
    </xf>
    <xf numFmtId="0" fontId="71" fillId="0" borderId="39" xfId="0" applyFont="1" applyBorder="1" applyAlignment="1" applyProtection="1">
      <alignment horizontal="center" vertical="center"/>
      <protection locked="0"/>
    </xf>
    <xf numFmtId="0" fontId="71" fillId="2" borderId="39" xfId="0" applyFont="1" applyFill="1" applyBorder="1" applyAlignment="1">
      <alignment horizontal="center" vertical="center"/>
    </xf>
    <xf numFmtId="0" fontId="70" fillId="3" borderId="39" xfId="0" applyFont="1" applyFill="1" applyBorder="1" applyAlignment="1" applyProtection="1">
      <alignment horizontal="center" vertical="center" wrapText="1"/>
      <protection locked="0"/>
    </xf>
    <xf numFmtId="0" fontId="75" fillId="0" borderId="39" xfId="1" applyFont="1" applyBorder="1" applyAlignment="1">
      <alignment horizontal="center" vertical="center"/>
    </xf>
    <xf numFmtId="2" fontId="72" fillId="0" borderId="39" xfId="1" applyNumberFormat="1" applyFont="1" applyBorder="1" applyAlignment="1">
      <alignment horizontal="right" vertical="center" wrapText="1"/>
    </xf>
    <xf numFmtId="2" fontId="72" fillId="0" borderId="55" xfId="1" applyNumberFormat="1" applyFont="1" applyBorder="1" applyAlignment="1">
      <alignment horizontal="right" vertical="center" wrapText="1"/>
    </xf>
    <xf numFmtId="0" fontId="72" fillId="0" borderId="40" xfId="1" applyFont="1" applyBorder="1" applyAlignment="1">
      <alignment horizontal="center" vertical="center" wrapText="1"/>
    </xf>
    <xf numFmtId="1" fontId="72" fillId="0" borderId="39" xfId="1" applyNumberFormat="1" applyFont="1" applyBorder="1" applyAlignment="1">
      <alignment horizontal="center" vertical="center" wrapText="1"/>
    </xf>
    <xf numFmtId="0" fontId="7" fillId="2" borderId="23" xfId="0" applyFont="1" applyFill="1" applyBorder="1" applyAlignment="1">
      <alignment horizontal="left" vertical="center"/>
    </xf>
    <xf numFmtId="0" fontId="7" fillId="4" borderId="33" xfId="0" applyFont="1" applyFill="1" applyBorder="1" applyAlignment="1">
      <alignment horizontal="left" vertical="center" wrapText="1"/>
    </xf>
    <xf numFmtId="0" fontId="4" fillId="4" borderId="33" xfId="0" applyFont="1" applyFill="1" applyBorder="1" applyAlignment="1">
      <alignment horizontal="left" vertical="center"/>
    </xf>
    <xf numFmtId="0" fontId="72" fillId="0" borderId="56" xfId="0" applyFont="1" applyBorder="1" applyAlignment="1">
      <alignment horizontal="left" vertical="center" wrapText="1"/>
    </xf>
    <xf numFmtId="0" fontId="74" fillId="0" borderId="56" xfId="0" applyFont="1" applyBorder="1" applyAlignment="1">
      <alignment horizontal="left" vertical="center" wrapText="1"/>
    </xf>
    <xf numFmtId="0" fontId="14" fillId="3" borderId="42" xfId="0" applyFont="1" applyFill="1" applyBorder="1" applyAlignment="1">
      <alignment horizontal="left" vertical="center" wrapText="1"/>
    </xf>
    <xf numFmtId="0" fontId="15" fillId="3" borderId="46" xfId="0" applyFont="1" applyFill="1" applyBorder="1" applyAlignment="1">
      <alignment horizontal="left" vertical="center" wrapText="1"/>
    </xf>
    <xf numFmtId="0" fontId="0" fillId="0" borderId="0" xfId="0" applyAlignment="1">
      <alignment horizontal="left"/>
    </xf>
    <xf numFmtId="0" fontId="4" fillId="2" borderId="39" xfId="0" applyFont="1" applyFill="1" applyBorder="1" applyAlignment="1" applyProtection="1">
      <alignment horizontal="center" vertical="center"/>
      <protection locked="0"/>
    </xf>
    <xf numFmtId="0" fontId="4" fillId="4" borderId="39" xfId="0" applyFont="1" applyFill="1" applyBorder="1" applyAlignment="1" applyProtection="1">
      <alignment horizontal="center" vertical="center" textRotation="90"/>
      <protection locked="0"/>
    </xf>
    <xf numFmtId="0" fontId="65" fillId="0" borderId="55" xfId="0" applyFont="1" applyBorder="1" applyAlignment="1" applyProtection="1">
      <alignment horizontal="left" vertical="center"/>
      <protection locked="0"/>
    </xf>
    <xf numFmtId="0" fontId="65" fillId="2" borderId="37" xfId="0" applyFont="1" applyFill="1" applyBorder="1" applyAlignment="1">
      <alignment horizontal="left" vertical="center"/>
    </xf>
    <xf numFmtId="0" fontId="68" fillId="0" borderId="39" xfId="1" applyFont="1" applyBorder="1" applyAlignment="1">
      <alignment horizontal="left" vertical="center"/>
    </xf>
    <xf numFmtId="0" fontId="66" fillId="0" borderId="39" xfId="1" applyFont="1" applyBorder="1" applyAlignment="1">
      <alignment horizontal="left" vertical="center" wrapText="1"/>
    </xf>
    <xf numFmtId="0" fontId="65" fillId="2" borderId="39" xfId="0" applyFont="1" applyFill="1" applyBorder="1" applyAlignment="1" applyProtection="1">
      <alignment horizontal="left" vertical="center" wrapText="1"/>
      <protection locked="0"/>
    </xf>
    <xf numFmtId="0" fontId="66" fillId="0" borderId="55" xfId="1" applyFont="1" applyBorder="1" applyAlignment="1">
      <alignment horizontal="left" vertical="center" wrapText="1"/>
    </xf>
    <xf numFmtId="0" fontId="66" fillId="0" borderId="37" xfId="1" applyFont="1" applyBorder="1" applyAlignment="1">
      <alignment horizontal="left" vertical="center" wrapText="1"/>
    </xf>
    <xf numFmtId="0" fontId="64" fillId="3" borderId="37" xfId="0" applyFont="1" applyFill="1" applyBorder="1" applyAlignment="1" applyProtection="1">
      <alignment horizontal="left" vertical="center" wrapText="1"/>
      <protection locked="0"/>
    </xf>
    <xf numFmtId="0" fontId="64" fillId="2" borderId="21" xfId="0" applyFont="1" applyFill="1" applyBorder="1" applyAlignment="1" applyProtection="1">
      <alignment horizontal="left" vertical="center" wrapText="1"/>
      <protection locked="0"/>
    </xf>
    <xf numFmtId="2" fontId="66" fillId="0" borderId="39" xfId="1" applyNumberFormat="1" applyFont="1" applyBorder="1" applyAlignment="1">
      <alignment horizontal="left" vertical="center" wrapText="1"/>
    </xf>
    <xf numFmtId="0" fontId="64" fillId="2" borderId="39" xfId="0" applyFont="1" applyFill="1" applyBorder="1" applyAlignment="1" applyProtection="1">
      <alignment horizontal="left" vertical="center" wrapText="1"/>
      <protection locked="0"/>
    </xf>
    <xf numFmtId="0" fontId="66" fillId="0" borderId="49" xfId="1" applyFont="1" applyBorder="1" applyAlignment="1">
      <alignment horizontal="left" vertical="center" wrapText="1"/>
    </xf>
    <xf numFmtId="0" fontId="65" fillId="0" borderId="0" xfId="0" applyFont="1" applyAlignment="1">
      <alignment horizontal="left"/>
    </xf>
    <xf numFmtId="0" fontId="65" fillId="2" borderId="55" xfId="0" applyFont="1" applyFill="1" applyBorder="1" applyAlignment="1">
      <alignment horizontal="left" vertical="center"/>
    </xf>
    <xf numFmtId="0" fontId="65" fillId="2" borderId="55" xfId="0" applyFont="1" applyFill="1" applyBorder="1" applyAlignment="1" applyProtection="1">
      <alignment horizontal="left" vertical="center" wrapText="1"/>
      <protection locked="0"/>
    </xf>
    <xf numFmtId="0" fontId="64" fillId="3" borderId="55" xfId="0" applyFont="1" applyFill="1" applyBorder="1" applyAlignment="1" applyProtection="1">
      <alignment horizontal="left" vertical="center" wrapText="1"/>
      <protection locked="0"/>
    </xf>
    <xf numFmtId="0" fontId="65" fillId="0" borderId="39" xfId="0" applyFont="1" applyBorder="1" applyAlignment="1" applyProtection="1">
      <alignment horizontal="left" vertical="center"/>
      <protection locked="0"/>
    </xf>
    <xf numFmtId="0" fontId="64" fillId="3" borderId="39" xfId="0" applyFont="1" applyFill="1" applyBorder="1" applyAlignment="1" applyProtection="1">
      <alignment horizontal="left" vertical="center" wrapText="1"/>
      <protection locked="0"/>
    </xf>
    <xf numFmtId="2" fontId="66" fillId="0" borderId="55" xfId="1" applyNumberFormat="1" applyFont="1" applyBorder="1" applyAlignment="1">
      <alignment horizontal="left" vertical="center" wrapText="1"/>
    </xf>
    <xf numFmtId="0" fontId="66" fillId="0" borderId="67" xfId="1" applyFont="1" applyBorder="1" applyAlignment="1">
      <alignment horizontal="center" vertical="center" wrapText="1"/>
    </xf>
    <xf numFmtId="0" fontId="66" fillId="0" borderId="84" xfId="1" applyFont="1" applyBorder="1" applyAlignment="1">
      <alignment horizontal="center" vertical="center" wrapText="1"/>
    </xf>
    <xf numFmtId="0" fontId="65" fillId="2" borderId="57" xfId="0" applyFont="1" applyFill="1" applyBorder="1" applyAlignment="1" applyProtection="1">
      <alignment horizontal="center" vertical="center" wrapText="1"/>
      <protection locked="0"/>
    </xf>
    <xf numFmtId="0" fontId="65" fillId="2" borderId="97" xfId="0" applyFont="1" applyFill="1" applyBorder="1" applyAlignment="1" applyProtection="1">
      <alignment horizontal="center" vertical="center" wrapText="1"/>
      <protection locked="0"/>
    </xf>
    <xf numFmtId="0" fontId="4" fillId="4" borderId="23" xfId="0" applyFont="1" applyFill="1" applyBorder="1" applyAlignment="1">
      <alignment horizontal="center" vertical="center"/>
    </xf>
    <xf numFmtId="0" fontId="4" fillId="4" borderId="25" xfId="0" applyFont="1" applyFill="1" applyBorder="1" applyAlignment="1">
      <alignment horizontal="center" vertical="center"/>
    </xf>
    <xf numFmtId="0" fontId="56" fillId="2" borderId="42" xfId="0" applyFont="1" applyFill="1" applyBorder="1" applyAlignment="1">
      <alignment horizontal="left" vertical="center" wrapText="1"/>
    </xf>
    <xf numFmtId="0" fontId="56" fillId="2" borderId="10" xfId="0" applyFont="1" applyFill="1" applyBorder="1" applyAlignment="1">
      <alignment horizontal="left" vertical="center" wrapText="1"/>
    </xf>
    <xf numFmtId="0" fontId="56" fillId="2" borderId="0" xfId="0" applyFont="1" applyFill="1" applyAlignment="1">
      <alignment horizontal="left" vertical="center" wrapText="1"/>
    </xf>
    <xf numFmtId="0" fontId="56" fillId="2" borderId="46" xfId="0" applyFont="1" applyFill="1" applyBorder="1" applyAlignment="1">
      <alignment horizontal="left" vertical="center" wrapText="1"/>
    </xf>
    <xf numFmtId="0" fontId="56" fillId="2" borderId="48" xfId="0" applyFont="1" applyFill="1" applyBorder="1" applyAlignment="1">
      <alignment horizontal="left" vertical="center" wrapText="1"/>
    </xf>
    <xf numFmtId="0" fontId="40" fillId="2" borderId="20" xfId="0" applyFont="1" applyFill="1" applyBorder="1" applyAlignment="1" applyProtection="1">
      <alignment horizontal="center" vertical="center" textRotation="90" wrapText="1"/>
      <protection locked="0"/>
    </xf>
    <xf numFmtId="0" fontId="40" fillId="2" borderId="8" xfId="0" applyFont="1" applyFill="1" applyBorder="1" applyAlignment="1" applyProtection="1">
      <alignment horizontal="center" vertical="center" textRotation="90" wrapText="1"/>
      <protection locked="0"/>
    </xf>
    <xf numFmtId="0" fontId="40" fillId="2" borderId="44" xfId="0" applyFont="1" applyFill="1" applyBorder="1" applyAlignment="1" applyProtection="1">
      <alignment horizontal="center" vertical="center" textRotation="90" wrapText="1"/>
      <protection locked="0"/>
    </xf>
    <xf numFmtId="0" fontId="4" fillId="2" borderId="21" xfId="0" applyFont="1" applyFill="1" applyBorder="1" applyProtection="1">
      <protection locked="0"/>
    </xf>
    <xf numFmtId="0" fontId="4" fillId="2" borderId="9" xfId="0" applyFont="1" applyFill="1" applyBorder="1" applyProtection="1">
      <protection locked="0"/>
    </xf>
    <xf numFmtId="0" fontId="4" fillId="2" borderId="45" xfId="0" applyFont="1" applyFill="1" applyBorder="1" applyProtection="1">
      <protection locked="0"/>
    </xf>
    <xf numFmtId="0" fontId="4" fillId="2" borderId="21" xfId="0" applyFont="1" applyFill="1" applyBorder="1"/>
    <xf numFmtId="0" fontId="4" fillId="2" borderId="9" xfId="0" applyFont="1" applyFill="1" applyBorder="1"/>
    <xf numFmtId="0" fontId="4" fillId="2" borderId="45" xfId="0" applyFont="1" applyFill="1" applyBorder="1"/>
    <xf numFmtId="0" fontId="4" fillId="2" borderId="22" xfId="0" applyFont="1" applyFill="1" applyBorder="1"/>
    <xf numFmtId="0" fontId="4" fillId="2" borderId="7" xfId="0" applyFont="1" applyFill="1" applyBorder="1"/>
    <xf numFmtId="0" fontId="4" fillId="2" borderId="43" xfId="0" applyFont="1" applyFill="1" applyBorder="1"/>
    <xf numFmtId="0" fontId="57" fillId="2" borderId="0" xfId="0" applyFont="1" applyFill="1" applyAlignment="1" applyProtection="1">
      <alignment horizontal="left" vertical="top" wrapText="1"/>
      <protection locked="0"/>
    </xf>
    <xf numFmtId="0" fontId="57" fillId="2" borderId="15" xfId="0" applyFont="1" applyFill="1" applyBorder="1" applyAlignment="1" applyProtection="1">
      <alignment horizontal="left" vertical="top" wrapText="1"/>
      <protection locked="0"/>
    </xf>
    <xf numFmtId="0" fontId="57" fillId="2" borderId="42" xfId="0" applyFont="1" applyFill="1" applyBorder="1" applyAlignment="1" applyProtection="1">
      <alignment horizontal="left" vertical="top" wrapText="1"/>
      <protection locked="0"/>
    </xf>
    <xf numFmtId="0" fontId="57" fillId="2" borderId="46" xfId="0" applyFont="1" applyFill="1" applyBorder="1" applyAlignment="1" applyProtection="1">
      <alignment horizontal="left" vertical="top" wrapText="1"/>
      <protection locked="0"/>
    </xf>
    <xf numFmtId="0" fontId="57" fillId="2" borderId="48" xfId="0" applyFont="1" applyFill="1" applyBorder="1" applyAlignment="1" applyProtection="1">
      <alignment horizontal="left" vertical="top" wrapText="1"/>
      <protection locked="0"/>
    </xf>
    <xf numFmtId="0" fontId="57" fillId="2" borderId="47" xfId="0" applyFont="1" applyFill="1" applyBorder="1" applyAlignment="1" applyProtection="1">
      <alignment horizontal="left" vertical="top" wrapText="1"/>
      <protection locked="0"/>
    </xf>
    <xf numFmtId="0" fontId="57" fillId="2" borderId="10" xfId="0" applyFont="1" applyFill="1" applyBorder="1" applyAlignment="1" applyProtection="1">
      <alignment horizontal="center" vertical="center"/>
      <protection locked="0"/>
    </xf>
    <xf numFmtId="0" fontId="57" fillId="2" borderId="52" xfId="0" applyFont="1" applyFill="1" applyBorder="1" applyAlignment="1" applyProtection="1">
      <alignment horizontal="center" vertical="center"/>
      <protection locked="0"/>
    </xf>
    <xf numFmtId="0" fontId="57" fillId="2" borderId="0" xfId="0" applyFont="1" applyFill="1" applyAlignment="1" applyProtection="1">
      <alignment horizontal="center" vertical="center"/>
      <protection locked="0"/>
    </xf>
    <xf numFmtId="0" fontId="57" fillId="2" borderId="53" xfId="0" applyFont="1" applyFill="1" applyBorder="1" applyAlignment="1" applyProtection="1">
      <alignment horizontal="center" vertical="center"/>
      <protection locked="0"/>
    </xf>
    <xf numFmtId="0" fontId="57" fillId="2" borderId="48" xfId="0" applyFont="1" applyFill="1" applyBorder="1" applyAlignment="1" applyProtection="1">
      <alignment horizontal="center" vertical="center"/>
      <protection locked="0"/>
    </xf>
    <xf numFmtId="0" fontId="57" fillId="2" borderId="54" xfId="0" applyFont="1" applyFill="1" applyBorder="1" applyAlignment="1" applyProtection="1">
      <alignment horizontal="center" vertical="center"/>
      <protection locked="0"/>
    </xf>
    <xf numFmtId="0" fontId="57" fillId="2" borderId="10" xfId="0" applyFont="1" applyFill="1" applyBorder="1" applyAlignment="1">
      <alignment horizontal="center" vertical="center" wrapText="1"/>
    </xf>
    <xf numFmtId="0" fontId="57" fillId="2" borderId="11" xfId="0" applyFont="1" applyFill="1" applyBorder="1" applyAlignment="1">
      <alignment horizontal="center" vertical="center" wrapText="1"/>
    </xf>
    <xf numFmtId="0" fontId="7" fillId="4" borderId="9" xfId="0" applyFont="1" applyFill="1" applyBorder="1" applyAlignment="1" applyProtection="1">
      <alignment horizontal="center" vertical="center" textRotation="90"/>
      <protection locked="0"/>
    </xf>
    <xf numFmtId="0" fontId="13" fillId="4" borderId="3" xfId="0" applyFont="1" applyFill="1" applyBorder="1" applyAlignment="1">
      <alignment horizontal="center" vertical="top" wrapText="1"/>
    </xf>
    <xf numFmtId="0" fontId="13" fillId="4" borderId="4" xfId="0" applyFont="1" applyFill="1" applyBorder="1" applyAlignment="1">
      <alignment horizontal="center" vertical="top" wrapText="1"/>
    </xf>
    <xf numFmtId="0" fontId="13" fillId="4" borderId="5" xfId="0" applyFont="1" applyFill="1" applyBorder="1" applyAlignment="1">
      <alignment horizontal="center" vertical="top" wrapText="1"/>
    </xf>
    <xf numFmtId="0" fontId="7" fillId="4" borderId="39" xfId="0" applyFont="1" applyFill="1" applyBorder="1" applyAlignment="1" applyProtection="1">
      <alignment horizontal="center" vertical="center" textRotation="90"/>
      <protection locked="0"/>
    </xf>
    <xf numFmtId="0" fontId="27" fillId="2" borderId="10" xfId="0" applyFont="1" applyFill="1" applyBorder="1" applyAlignment="1">
      <alignment horizontal="left" vertical="top" wrapText="1"/>
    </xf>
    <xf numFmtId="0" fontId="30" fillId="2" borderId="10" xfId="0" applyFont="1" applyFill="1" applyBorder="1" applyAlignment="1">
      <alignment horizontal="left" vertical="top" wrapText="1"/>
    </xf>
    <xf numFmtId="0" fontId="30" fillId="2" borderId="11" xfId="0" applyFont="1" applyFill="1" applyBorder="1" applyAlignment="1">
      <alignment horizontal="left" vertical="top" wrapText="1"/>
    </xf>
    <xf numFmtId="0" fontId="30" fillId="2" borderId="0" xfId="0" applyFont="1" applyFill="1" applyAlignment="1">
      <alignment horizontal="left" vertical="top" wrapText="1"/>
    </xf>
    <xf numFmtId="0" fontId="30" fillId="2" borderId="15" xfId="0" applyFont="1" applyFill="1" applyBorder="1" applyAlignment="1">
      <alignment horizontal="left" vertical="top" wrapText="1"/>
    </xf>
    <xf numFmtId="0" fontId="30" fillId="2" borderId="16" xfId="0" applyFont="1" applyFill="1" applyBorder="1" applyAlignment="1">
      <alignment horizontal="left" vertical="top" wrapText="1"/>
    </xf>
    <xf numFmtId="0" fontId="30" fillId="2" borderId="17" xfId="0" applyFont="1" applyFill="1" applyBorder="1" applyAlignment="1">
      <alignment horizontal="left" vertical="top" wrapText="1"/>
    </xf>
    <xf numFmtId="0" fontId="30" fillId="2" borderId="18" xfId="0" applyFont="1" applyFill="1" applyBorder="1" applyAlignment="1">
      <alignment horizontal="left" vertical="top" wrapText="1"/>
    </xf>
    <xf numFmtId="0" fontId="20" fillId="4" borderId="24" xfId="0" applyFont="1" applyFill="1" applyBorder="1" applyAlignment="1" applyProtection="1">
      <alignment horizontal="left" vertical="center"/>
      <protection locked="0"/>
    </xf>
    <xf numFmtId="0" fontId="20" fillId="4" borderId="51" xfId="0" applyFont="1" applyFill="1" applyBorder="1" applyAlignment="1" applyProtection="1">
      <alignment horizontal="left" vertical="center"/>
      <protection locked="0"/>
    </xf>
    <xf numFmtId="0" fontId="20" fillId="4" borderId="24" xfId="0" applyFont="1" applyFill="1" applyBorder="1" applyAlignment="1" applyProtection="1">
      <alignment horizontal="left" vertical="center" wrapText="1"/>
      <protection locked="0"/>
    </xf>
    <xf numFmtId="0" fontId="20" fillId="4" borderId="51" xfId="0" applyFont="1" applyFill="1" applyBorder="1" applyAlignment="1" applyProtection="1">
      <alignment horizontal="left" vertical="center" wrapText="1"/>
      <protection locked="0"/>
    </xf>
    <xf numFmtId="0" fontId="20" fillId="4" borderId="4" xfId="0" applyFont="1" applyFill="1" applyBorder="1" applyAlignment="1" applyProtection="1">
      <alignment horizontal="left" vertical="center" wrapText="1"/>
      <protection locked="0"/>
    </xf>
    <xf numFmtId="0" fontId="20" fillId="4" borderId="4" xfId="0" applyFont="1" applyFill="1" applyBorder="1" applyAlignment="1" applyProtection="1">
      <alignment horizontal="left" vertical="center"/>
      <protection locked="0"/>
    </xf>
    <xf numFmtId="0" fontId="20" fillId="4" borderId="50" xfId="0" applyFont="1" applyFill="1" applyBorder="1" applyAlignment="1" applyProtection="1">
      <alignment horizontal="left" vertical="center"/>
      <protection locked="0"/>
    </xf>
    <xf numFmtId="0" fontId="17" fillId="3" borderId="41" xfId="0" applyFont="1" applyFill="1" applyBorder="1" applyAlignment="1">
      <alignment horizontal="center" vertical="center"/>
    </xf>
    <xf numFmtId="0" fontId="17" fillId="3" borderId="10" xfId="0" applyFont="1" applyFill="1" applyBorder="1" applyAlignment="1">
      <alignment horizontal="center" vertical="center"/>
    </xf>
    <xf numFmtId="0" fontId="17" fillId="3" borderId="52" xfId="0" applyFont="1" applyFill="1" applyBorder="1" applyAlignment="1">
      <alignment horizontal="center" vertical="center"/>
    </xf>
    <xf numFmtId="0" fontId="64" fillId="0" borderId="38" xfId="0" applyFont="1" applyBorder="1" applyAlignment="1">
      <alignment horizontal="center" vertical="center"/>
    </xf>
    <xf numFmtId="0" fontId="4" fillId="2" borderId="36" xfId="0" applyFont="1" applyFill="1" applyBorder="1" applyAlignment="1">
      <alignment horizontal="center" vertical="center"/>
    </xf>
    <xf numFmtId="0" fontId="4" fillId="2" borderId="38" xfId="0" applyFont="1" applyFill="1" applyBorder="1" applyAlignment="1">
      <alignment horizontal="center" vertical="center"/>
    </xf>
    <xf numFmtId="0" fontId="4" fillId="2" borderId="58" xfId="0" applyFont="1" applyFill="1" applyBorder="1" applyAlignment="1">
      <alignment horizontal="center" vertical="center"/>
    </xf>
    <xf numFmtId="0" fontId="64" fillId="0" borderId="9" xfId="0" applyFont="1" applyBorder="1" applyAlignment="1">
      <alignment horizontal="center" vertical="center" textRotation="90"/>
    </xf>
    <xf numFmtId="0" fontId="11" fillId="2" borderId="22" xfId="0" applyFont="1" applyFill="1" applyBorder="1" applyAlignment="1">
      <alignment horizontal="center" vertical="center" textRotation="90" wrapText="1"/>
    </xf>
    <xf numFmtId="0" fontId="11" fillId="2" borderId="7" xfId="0" applyFont="1" applyFill="1" applyBorder="1" applyAlignment="1">
      <alignment horizontal="center" vertical="center" textRotation="90" wrapText="1"/>
    </xf>
    <xf numFmtId="0" fontId="11" fillId="2" borderId="43" xfId="0" applyFont="1" applyFill="1" applyBorder="1" applyAlignment="1">
      <alignment horizontal="center" vertical="center" textRotation="90" wrapText="1"/>
    </xf>
    <xf numFmtId="0" fontId="25" fillId="2" borderId="80" xfId="0" applyFont="1" applyFill="1" applyBorder="1" applyAlignment="1">
      <alignment horizontal="center" vertical="center" textRotation="90" wrapText="1"/>
    </xf>
    <xf numFmtId="0" fontId="25" fillId="2" borderId="81" xfId="0" applyFont="1" applyFill="1" applyBorder="1" applyAlignment="1">
      <alignment horizontal="center" vertical="center" textRotation="90" wrapText="1"/>
    </xf>
    <xf numFmtId="0" fontId="25" fillId="2" borderId="82" xfId="0" applyFont="1" applyFill="1" applyBorder="1" applyAlignment="1">
      <alignment horizontal="center" vertical="center" textRotation="90" wrapText="1"/>
    </xf>
    <xf numFmtId="0" fontId="25" fillId="2" borderId="22" xfId="0" applyFont="1" applyFill="1" applyBorder="1" applyAlignment="1">
      <alignment horizontal="center" vertical="center" textRotation="90" wrapText="1"/>
    </xf>
    <xf numFmtId="0" fontId="25" fillId="2" borderId="14" xfId="0" applyFont="1" applyFill="1" applyBorder="1" applyAlignment="1">
      <alignment horizontal="center" vertical="center" textRotation="90" wrapText="1"/>
    </xf>
    <xf numFmtId="0" fontId="4" fillId="2" borderId="22" xfId="1" applyFont="1" applyFill="1" applyBorder="1" applyAlignment="1">
      <alignment horizontal="center" vertical="center" textRotation="90"/>
    </xf>
    <xf numFmtId="0" fontId="4" fillId="2" borderId="7" xfId="1" applyFont="1" applyFill="1" applyBorder="1" applyAlignment="1">
      <alignment horizontal="center" vertical="center" textRotation="90"/>
    </xf>
    <xf numFmtId="0" fontId="34" fillId="2" borderId="67" xfId="1" applyFont="1" applyFill="1" applyBorder="1" applyAlignment="1">
      <alignment horizontal="center" vertical="center"/>
    </xf>
    <xf numFmtId="0" fontId="34" fillId="2" borderId="63" xfId="1" applyFont="1" applyFill="1" applyBorder="1" applyAlignment="1">
      <alignment horizontal="center" vertical="center"/>
    </xf>
    <xf numFmtId="0" fontId="34" fillId="2" borderId="84" xfId="1" applyFont="1" applyFill="1" applyBorder="1" applyAlignment="1">
      <alignment horizontal="center" vertical="center"/>
    </xf>
    <xf numFmtId="0" fontId="7" fillId="2" borderId="63" xfId="1" applyFont="1" applyFill="1" applyBorder="1" applyAlignment="1">
      <alignment horizontal="center" vertical="center"/>
    </xf>
    <xf numFmtId="0" fontId="7" fillId="2" borderId="64" xfId="1" applyFont="1" applyFill="1" applyBorder="1" applyAlignment="1">
      <alignment horizontal="center" vertical="center"/>
    </xf>
    <xf numFmtId="0" fontId="7" fillId="2" borderId="60" xfId="1" applyFont="1" applyFill="1" applyBorder="1" applyAlignment="1">
      <alignment horizontal="center" vertical="center"/>
    </xf>
    <xf numFmtId="0" fontId="7" fillId="2" borderId="61" xfId="1" applyFont="1" applyFill="1" applyBorder="1" applyAlignment="1">
      <alignment horizontal="center" vertical="center"/>
    </xf>
    <xf numFmtId="0" fontId="34" fillId="2" borderId="93" xfId="1" applyFont="1" applyFill="1" applyBorder="1" applyAlignment="1">
      <alignment horizontal="center" vertical="center"/>
    </xf>
    <xf numFmtId="0" fontId="7" fillId="2" borderId="65" xfId="1" applyFont="1" applyFill="1" applyBorder="1" applyAlignment="1">
      <alignment horizontal="center" vertical="center"/>
    </xf>
    <xf numFmtId="0" fontId="7" fillId="2" borderId="66" xfId="1" applyFont="1" applyFill="1" applyBorder="1" applyAlignment="1">
      <alignment horizontal="center" vertical="center"/>
    </xf>
    <xf numFmtId="0" fontId="21" fillId="2" borderId="89" xfId="1" applyFill="1" applyBorder="1" applyAlignment="1">
      <alignment horizontal="center" vertical="center"/>
    </xf>
    <xf numFmtId="0" fontId="21" fillId="2" borderId="70" xfId="1" applyFill="1" applyBorder="1" applyAlignment="1">
      <alignment horizontal="center" vertical="center"/>
    </xf>
    <xf numFmtId="0" fontId="21" fillId="2" borderId="71" xfId="1" applyFill="1" applyBorder="1" applyAlignment="1">
      <alignment horizontal="center" vertical="center"/>
    </xf>
    <xf numFmtId="0" fontId="6" fillId="2" borderId="57" xfId="1" applyFont="1" applyFill="1" applyBorder="1" applyAlignment="1">
      <alignment horizontal="center" vertical="center" textRotation="90" wrapText="1"/>
    </xf>
    <xf numFmtId="0" fontId="6" fillId="2" borderId="55" xfId="1" applyFont="1" applyFill="1" applyBorder="1" applyAlignment="1">
      <alignment horizontal="center" vertical="center" textRotation="90" wrapText="1"/>
    </xf>
    <xf numFmtId="0" fontId="6" fillId="2" borderId="9" xfId="1" applyFont="1" applyFill="1" applyBorder="1" applyAlignment="1">
      <alignment horizontal="center" vertical="center" textRotation="90" wrapText="1"/>
    </xf>
    <xf numFmtId="0" fontId="43" fillId="2" borderId="2" xfId="1" applyFont="1" applyFill="1" applyBorder="1" applyAlignment="1">
      <alignment horizontal="center" vertical="center" textRotation="90" wrapText="1"/>
    </xf>
    <xf numFmtId="0" fontId="43" fillId="2" borderId="7" xfId="1" applyFont="1" applyFill="1" applyBorder="1" applyAlignment="1">
      <alignment horizontal="center" vertical="center" textRotation="90" wrapText="1"/>
    </xf>
    <xf numFmtId="0" fontId="43" fillId="2" borderId="14" xfId="1" applyFont="1" applyFill="1" applyBorder="1" applyAlignment="1">
      <alignment horizontal="center" vertical="center" textRotation="90" wrapText="1"/>
    </xf>
    <xf numFmtId="0" fontId="5" fillId="2" borderId="22" xfId="1" applyFont="1" applyFill="1" applyBorder="1" applyAlignment="1">
      <alignment horizontal="center" vertical="center" textRotation="90" wrapText="1"/>
    </xf>
    <xf numFmtId="0" fontId="5" fillId="2" borderId="14" xfId="1" applyFont="1" applyFill="1" applyBorder="1" applyAlignment="1">
      <alignment horizontal="center" vertical="center" textRotation="90" wrapText="1"/>
    </xf>
    <xf numFmtId="0" fontId="5" fillId="2" borderId="91" xfId="1" applyFont="1" applyFill="1" applyBorder="1" applyAlignment="1">
      <alignment horizontal="center" vertical="center" textRotation="90" wrapText="1"/>
    </xf>
    <xf numFmtId="0" fontId="5" fillId="2" borderId="81" xfId="1" applyFont="1" applyFill="1" applyBorder="1" applyAlignment="1">
      <alignment horizontal="center" vertical="center" textRotation="90" wrapText="1"/>
    </xf>
    <xf numFmtId="0" fontId="5" fillId="2" borderId="43" xfId="1" applyFont="1" applyFill="1" applyBorder="1" applyAlignment="1">
      <alignment horizontal="center" vertical="center" textRotation="90" wrapText="1"/>
    </xf>
    <xf numFmtId="0" fontId="4" fillId="2" borderId="36" xfId="1" applyFont="1" applyFill="1" applyBorder="1" applyAlignment="1">
      <alignment horizontal="center" vertical="center"/>
    </xf>
    <xf numFmtId="0" fontId="4" fillId="2" borderId="38" xfId="1" applyFont="1" applyFill="1" applyBorder="1" applyAlignment="1">
      <alignment horizontal="center" vertical="center"/>
    </xf>
    <xf numFmtId="0" fontId="4" fillId="2" borderId="58" xfId="1" applyFont="1" applyFill="1" applyBorder="1" applyAlignment="1">
      <alignment horizontal="center" vertical="center"/>
    </xf>
    <xf numFmtId="0" fontId="5" fillId="2" borderId="39" xfId="1" applyFont="1" applyFill="1" applyBorder="1" applyAlignment="1">
      <alignment horizontal="center" vertical="center" textRotation="90" wrapText="1"/>
    </xf>
    <xf numFmtId="0" fontId="6" fillId="0" borderId="57" xfId="1" applyFont="1" applyBorder="1" applyAlignment="1">
      <alignment horizontal="center" vertical="center" textRotation="90" wrapText="1"/>
    </xf>
    <xf numFmtId="0" fontId="6" fillId="0" borderId="55" xfId="1" applyFont="1" applyBorder="1" applyAlignment="1">
      <alignment horizontal="center" vertical="center" textRotation="90" wrapText="1"/>
    </xf>
    <xf numFmtId="0" fontId="4" fillId="4" borderId="39" xfId="0" applyFont="1" applyFill="1" applyBorder="1" applyAlignment="1" applyProtection="1">
      <alignment horizontal="center" vertical="center" textRotation="90"/>
      <protection locked="0"/>
    </xf>
    <xf numFmtId="0" fontId="4" fillId="4" borderId="9" xfId="0" applyFont="1" applyFill="1" applyBorder="1" applyAlignment="1" applyProtection="1">
      <alignment horizontal="center" vertical="center" textRotation="90"/>
      <protection locked="0"/>
    </xf>
    <xf numFmtId="0" fontId="39" fillId="2" borderId="0" xfId="0" applyFont="1" applyFill="1" applyAlignment="1" applyProtection="1">
      <alignment horizontal="center" vertical="center"/>
      <protection locked="0"/>
    </xf>
    <xf numFmtId="0" fontId="39" fillId="2" borderId="53" xfId="0" applyFont="1" applyFill="1" applyBorder="1" applyAlignment="1" applyProtection="1">
      <alignment horizontal="center" vertical="center"/>
      <protection locked="0"/>
    </xf>
    <xf numFmtId="0" fontId="39" fillId="2" borderId="48" xfId="0" applyFont="1" applyFill="1" applyBorder="1" applyAlignment="1" applyProtection="1">
      <alignment horizontal="center" vertical="center"/>
      <protection locked="0"/>
    </xf>
    <xf numFmtId="0" fontId="39" fillId="2" borderId="54" xfId="0" applyFont="1" applyFill="1" applyBorder="1" applyAlignment="1" applyProtection="1">
      <alignment horizontal="center" vertical="center"/>
      <protection locked="0"/>
    </xf>
    <xf numFmtId="0" fontId="70" fillId="0" borderId="36" xfId="0" applyFont="1" applyBorder="1" applyAlignment="1">
      <alignment horizontal="center" vertical="center"/>
    </xf>
    <xf numFmtId="0" fontId="70" fillId="0" borderId="38" xfId="0" applyFont="1" applyBorder="1" applyAlignment="1">
      <alignment horizontal="center" vertical="center"/>
    </xf>
    <xf numFmtId="0" fontId="70" fillId="0" borderId="21" xfId="0" applyFont="1" applyBorder="1" applyAlignment="1">
      <alignment horizontal="center" vertical="center" textRotation="90"/>
    </xf>
    <xf numFmtId="0" fontId="70" fillId="0" borderId="9" xfId="0" applyFont="1" applyBorder="1" applyAlignment="1">
      <alignment horizontal="center" vertical="center" textRotation="90"/>
    </xf>
    <xf numFmtId="0" fontId="39" fillId="2" borderId="10" xfId="0" applyFont="1" applyFill="1" applyBorder="1" applyAlignment="1">
      <alignment horizontal="center" vertical="center" wrapText="1"/>
    </xf>
    <xf numFmtId="0" fontId="39" fillId="2" borderId="11" xfId="0" applyFont="1" applyFill="1" applyBorder="1" applyAlignment="1">
      <alignment horizontal="center" vertical="center" wrapText="1"/>
    </xf>
    <xf numFmtId="0" fontId="7" fillId="2" borderId="42" xfId="0" applyFont="1" applyFill="1" applyBorder="1" applyAlignment="1">
      <alignment horizontal="left" vertical="center" wrapText="1"/>
    </xf>
    <xf numFmtId="0" fontId="7" fillId="2" borderId="10"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46" xfId="0" applyFont="1" applyFill="1" applyBorder="1" applyAlignment="1">
      <alignment horizontal="left" vertical="center" wrapText="1"/>
    </xf>
    <xf numFmtId="0" fontId="7" fillId="2" borderId="48" xfId="0" applyFont="1" applyFill="1" applyBorder="1" applyAlignment="1">
      <alignment horizontal="left" vertical="center" wrapText="1"/>
    </xf>
    <xf numFmtId="0" fontId="39" fillId="2" borderId="10" xfId="0" applyFont="1" applyFill="1" applyBorder="1" applyAlignment="1" applyProtection="1">
      <alignment horizontal="center" vertical="center"/>
      <protection locked="0"/>
    </xf>
    <xf numFmtId="0" fontId="39" fillId="2" borderId="52" xfId="0" applyFont="1" applyFill="1" applyBorder="1" applyAlignment="1" applyProtection="1">
      <alignment horizontal="center" vertical="center"/>
      <protection locked="0"/>
    </xf>
    <xf numFmtId="0" fontId="39" fillId="2" borderId="0" xfId="0" applyFont="1" applyFill="1" applyAlignment="1" applyProtection="1">
      <alignment horizontal="left" vertical="top" wrapText="1"/>
      <protection locked="0"/>
    </xf>
    <xf numFmtId="0" fontId="39" fillId="2" borderId="15" xfId="0" applyFont="1" applyFill="1" applyBorder="1" applyAlignment="1" applyProtection="1">
      <alignment horizontal="left" vertical="top" wrapText="1"/>
      <protection locked="0"/>
    </xf>
    <xf numFmtId="0" fontId="39" fillId="2" borderId="42" xfId="0" applyFont="1" applyFill="1" applyBorder="1" applyAlignment="1" applyProtection="1">
      <alignment horizontal="left" vertical="top" wrapText="1"/>
      <protection locked="0"/>
    </xf>
    <xf numFmtId="0" fontId="39" fillId="2" borderId="46" xfId="0" applyFont="1" applyFill="1" applyBorder="1" applyAlignment="1" applyProtection="1">
      <alignment horizontal="left" vertical="top" wrapText="1"/>
      <protection locked="0"/>
    </xf>
    <xf numFmtId="0" fontId="39" fillId="2" borderId="48" xfId="0" applyFont="1" applyFill="1" applyBorder="1" applyAlignment="1" applyProtection="1">
      <alignment horizontal="left" vertical="top" wrapText="1"/>
      <protection locked="0"/>
    </xf>
    <xf numFmtId="0" fontId="39" fillId="2" borderId="47" xfId="0" applyFont="1" applyFill="1" applyBorder="1" applyAlignment="1" applyProtection="1">
      <alignment horizontal="left" vertical="top" wrapText="1"/>
      <protection locked="0"/>
    </xf>
    <xf numFmtId="0" fontId="4" fillId="4" borderId="11" xfId="0" applyFont="1" applyFill="1" applyBorder="1" applyAlignment="1">
      <alignment horizontal="center" vertical="center"/>
    </xf>
    <xf numFmtId="0" fontId="4" fillId="0" borderId="36" xfId="0" applyFont="1" applyBorder="1" applyAlignment="1">
      <alignment horizontal="center" vertical="center"/>
    </xf>
    <xf numFmtId="0" fontId="4" fillId="0" borderId="38" xfId="0" applyFont="1" applyBorder="1" applyAlignment="1">
      <alignment horizontal="center" vertical="center"/>
    </xf>
    <xf numFmtId="0" fontId="7" fillId="0" borderId="21" xfId="0" applyFont="1" applyBorder="1" applyAlignment="1">
      <alignment horizontal="center" vertical="center" textRotation="90"/>
    </xf>
    <xf numFmtId="0" fontId="7" fillId="0" borderId="9" xfId="0" applyFont="1" applyBorder="1" applyAlignment="1">
      <alignment horizontal="center" vertical="center" textRotation="90"/>
    </xf>
    <xf numFmtId="0" fontId="5" fillId="2" borderId="7" xfId="1" applyFont="1" applyFill="1" applyBorder="1" applyAlignment="1">
      <alignment horizontal="center" vertical="center" textRotation="90" wrapText="1"/>
    </xf>
    <xf numFmtId="0" fontId="5" fillId="2" borderId="41" xfId="1" applyFont="1" applyFill="1" applyBorder="1" applyAlignment="1">
      <alignment horizontal="center" vertical="center" textRotation="90" wrapText="1"/>
    </xf>
    <xf numFmtId="0" fontId="5" fillId="2" borderId="10" xfId="1" applyFont="1" applyFill="1" applyBorder="1" applyAlignment="1">
      <alignment horizontal="center" vertical="center" textRotation="90" wrapText="1"/>
    </xf>
    <xf numFmtId="0" fontId="5" fillId="2" borderId="42" xfId="1" applyFont="1" applyFill="1" applyBorder="1" applyAlignment="1">
      <alignment horizontal="center" vertical="center" textRotation="90" wrapText="1"/>
    </xf>
    <xf numFmtId="0" fontId="5" fillId="2" borderId="0" xfId="1" applyFont="1" applyFill="1" applyAlignment="1">
      <alignment horizontal="center" vertical="center" textRotation="90" wrapText="1"/>
    </xf>
    <xf numFmtId="0" fontId="5" fillId="2" borderId="86" xfId="1" applyFont="1" applyFill="1" applyBorder="1" applyAlignment="1">
      <alignment horizontal="center" vertical="center" textRotation="90" wrapText="1"/>
    </xf>
    <xf numFmtId="0" fontId="5" fillId="2" borderId="90" xfId="1" applyFont="1" applyFill="1" applyBorder="1" applyAlignment="1">
      <alignment horizontal="center" vertical="center" textRotation="90" wrapText="1"/>
    </xf>
    <xf numFmtId="0" fontId="5" fillId="2" borderId="57" xfId="1" applyFont="1" applyFill="1" applyBorder="1" applyAlignment="1">
      <alignment horizontal="center" vertical="center" textRotation="90" wrapText="1"/>
    </xf>
    <xf numFmtId="0" fontId="5" fillId="2" borderId="9" xfId="1" applyFont="1" applyFill="1" applyBorder="1" applyAlignment="1">
      <alignment horizontal="center" vertical="center" textRotation="90" wrapText="1"/>
    </xf>
    <xf numFmtId="0" fontId="5" fillId="2" borderId="55" xfId="1" applyFont="1" applyFill="1" applyBorder="1" applyAlignment="1">
      <alignment horizontal="center" vertical="center" textRotation="90" wrapText="1"/>
    </xf>
    <xf numFmtId="0" fontId="54" fillId="8" borderId="67" xfId="8" applyFont="1" applyFill="1" applyBorder="1" applyAlignment="1">
      <alignment horizontal="center" vertical="center"/>
    </xf>
    <xf numFmtId="0" fontId="54" fillId="8" borderId="63" xfId="8" applyFont="1" applyFill="1" applyBorder="1" applyAlignment="1">
      <alignment horizontal="center" vertical="center"/>
    </xf>
  </cellXfs>
  <cellStyles count="9">
    <cellStyle name="Currency 2" xfId="2" xr:uid="{30428AA6-3EDE-4C91-8ECF-EF2DAEAAF04F}"/>
    <cellStyle name="Normal" xfId="0" builtinId="0"/>
    <cellStyle name="Normal 2" xfId="1" xr:uid="{840E783C-63E2-413D-8111-EDCD0ECA23FA}"/>
    <cellStyle name="Normal 2 2" xfId="3" xr:uid="{DE861414-C128-4C80-BA62-3B192600AE14}"/>
    <cellStyle name="Normal 3" xfId="4" xr:uid="{D3C5CDD6-185C-441E-B9A4-2809F36DD480}"/>
    <cellStyle name="Normal 4" xfId="6" xr:uid="{6BEB0BF1-72C0-4BBF-9E6F-9F87491F9ED5}"/>
    <cellStyle name="Normal 5" xfId="7" xr:uid="{8A61EBF6-17F3-4226-A497-143E7D192677}"/>
    <cellStyle name="Normal 6" xfId="8" xr:uid="{4481E7EB-C615-4A48-B761-45E9D9E3B1A6}"/>
    <cellStyle name="표준_SPART" xfId="5" xr:uid="{65A858C0-FA3D-41F1-BB5F-CC377E81A03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ctrlProps/ctrlProp1.xml><?xml version="1.0" encoding="utf-8"?>
<formControlPr xmlns="http://schemas.microsoft.com/office/spreadsheetml/2009/9/main" objectType="CheckBox" fmlaLink="#REF!" lockText="1" noThreeD="1"/>
</file>

<file path=xl/ctrlProps/ctrlProp2.xml><?xml version="1.0" encoding="utf-8"?>
<formControlPr xmlns="http://schemas.microsoft.com/office/spreadsheetml/2009/9/main" objectType="CheckBox" fmlaLink="#REF!" lockText="1" noThreeD="1"/>
</file>

<file path=xl/ctrlProps/ctrlProp3.xml><?xml version="1.0" encoding="utf-8"?>
<formControlPr xmlns="http://schemas.microsoft.com/office/spreadsheetml/2009/9/main" objectType="CheckBox" fmlaLink="#REF!" lockText="1" noThreeD="1"/>
</file>

<file path=xl/ctrlProps/ctrlProp4.xml><?xml version="1.0" encoding="utf-8"?>
<formControlPr xmlns="http://schemas.microsoft.com/office/spreadsheetml/2009/9/main" objectType="CheckBox" fmlaLink="#REF!" lockText="1" noThreeD="1"/>
</file>

<file path=xl/ctrlProps/ctrlProp5.xml><?xml version="1.0" encoding="utf-8"?>
<formControlPr xmlns="http://schemas.microsoft.com/office/spreadsheetml/2009/9/main" objectType="CheckBox" fmlaLink="$AB$2" lockText="1" noThreeD="1"/>
</file>

<file path=xl/ctrlProps/ctrlProp6.xml><?xml version="1.0" encoding="utf-8"?>
<formControlPr xmlns="http://schemas.microsoft.com/office/spreadsheetml/2009/9/main" objectType="CheckBox" checked="Checked" fmlaLink="$AB$4" lockText="1" noThreeD="1"/>
</file>

<file path=xl/ctrlProps/ctrlProp7.xml><?xml version="1.0" encoding="utf-8"?>
<formControlPr xmlns="http://schemas.microsoft.com/office/spreadsheetml/2009/9/main" objectType="CheckBox" fmlaLink="$AB$3" lockText="1" noThreeD="1"/>
</file>

<file path=xl/ctrlProps/ctrlProp8.xml><?xml version="1.0" encoding="utf-8"?>
<formControlPr xmlns="http://schemas.microsoft.com/office/spreadsheetml/2009/9/main" objectType="CheckBox" fmlaLink="$AB$5" lockText="1" noThreeD="1"/>
</file>

<file path=xl/ctrlProps/ctrlProp9.xml><?xml version="1.0" encoding="utf-8"?>
<formControlPr xmlns="http://schemas.microsoft.com/office/spreadsheetml/2009/9/main" objectType="CheckBox" fmlaLink="#REF!" lockText="1" noThreeD="1"/>
</file>

<file path=xl/ctrlProps/ctrlProp10.xml><?xml version="1.0" encoding="utf-8"?>
<formControlPr xmlns="http://schemas.microsoft.com/office/spreadsheetml/2009/9/main" objectType="CheckBox" fmlaLink="#REF!" lockText="1" noThreeD="1"/>
</file>

<file path=xl/ctrlProps/ctrlProp11.xml><?xml version="1.0" encoding="utf-8"?>
<formControlPr xmlns="http://schemas.microsoft.com/office/spreadsheetml/2009/9/main" objectType="CheckBox" fmlaLink="#REF!" lockText="1" noThreeD="1"/>
</file>

<file path=xl/ctrlProps/ctrlProp12.xml><?xml version="1.0" encoding="utf-8"?>
<formControlPr xmlns="http://schemas.microsoft.com/office/spreadsheetml/2009/9/main" objectType="CheckBox" fmlaLink="#REF!" lockText="1" noThreeD="1"/>
</file>

<file path=xl/ctrlProps/ctrlProp13.xml><?xml version="1.0" encoding="utf-8"?>
<formControlPr xmlns="http://schemas.microsoft.com/office/spreadsheetml/2009/9/main" objectType="CheckBox" fmlaLink="#REF!" lockText="1" noThreeD="1"/>
</file>

<file path=xl/ctrlProps/ctrlProp14.xml><?xml version="1.0" encoding="utf-8"?>
<formControlPr xmlns="http://schemas.microsoft.com/office/spreadsheetml/2009/9/main" objectType="CheckBox" fmlaLink="#REF!" lockText="1" noThreeD="1"/>
</file>

<file path=xl/ctrlProps/ctrlProp15.xml><?xml version="1.0" encoding="utf-8"?>
<formControlPr xmlns="http://schemas.microsoft.com/office/spreadsheetml/2009/9/main" objectType="CheckBox" fmlaLink="#REF!" lockText="1" noThreeD="1"/>
</file>

<file path=xl/ctrlProps/ctrlProp16.xml><?xml version="1.0" encoding="utf-8"?>
<formControlPr xmlns="http://schemas.microsoft.com/office/spreadsheetml/2009/9/main" objectType="CheckBox" fmlaLink="#REF!" lockText="1" noThreeD="1"/>
</file>

<file path=xl/ctrlProps/ctrlProp17.xml><?xml version="1.0" encoding="utf-8"?>
<formControlPr xmlns="http://schemas.microsoft.com/office/spreadsheetml/2009/9/main" objectType="CheckBox" fmlaLink="$AB$2" lockText="1" noThreeD="1"/>
</file>

<file path=xl/ctrlProps/ctrlProp18.xml><?xml version="1.0" encoding="utf-8"?>
<formControlPr xmlns="http://schemas.microsoft.com/office/spreadsheetml/2009/9/main" objectType="CheckBox" checked="Checked" fmlaLink="$AB$4" lockText="1" noThreeD="1"/>
</file>

<file path=xl/ctrlProps/ctrlProp19.xml><?xml version="1.0" encoding="utf-8"?>
<formControlPr xmlns="http://schemas.microsoft.com/office/spreadsheetml/2009/9/main" objectType="CheckBox" fmlaLink="$AB$3" lockText="1" noThreeD="1"/>
</file>

<file path=xl/ctrlProps/ctrlProp20.xml><?xml version="1.0" encoding="utf-8"?>
<formControlPr xmlns="http://schemas.microsoft.com/office/spreadsheetml/2009/9/main" objectType="CheckBox" fmlaLink="$AB$5" lockText="1" noThreeD="1"/>
</file>

<file path=xl/ctrlProps/ctrlProp21.xml><?xml version="1.0" encoding="utf-8"?>
<formControlPr xmlns="http://schemas.microsoft.com/office/spreadsheetml/2009/9/main" objectType="CheckBox" fmlaLink="#REF!" lockText="1" noThreeD="1"/>
</file>

<file path=xl/ctrlProps/ctrlProp22.xml><?xml version="1.0" encoding="utf-8"?>
<formControlPr xmlns="http://schemas.microsoft.com/office/spreadsheetml/2009/9/main" objectType="CheckBox" fmlaLink="#REF!" lockText="1" noThreeD="1"/>
</file>

<file path=xl/ctrlProps/ctrlProp23.xml><?xml version="1.0" encoding="utf-8"?>
<formControlPr xmlns="http://schemas.microsoft.com/office/spreadsheetml/2009/9/main" objectType="CheckBox" fmlaLink="#REF!" lockText="1" noThreeD="1"/>
</file>

<file path=xl/ctrlProps/ctrlProp24.xml><?xml version="1.0" encoding="utf-8"?>
<formControlPr xmlns="http://schemas.microsoft.com/office/spreadsheetml/2009/9/main" objectType="CheckBox" fmlaLink="#REF!" lockText="1" noThreeD="1"/>
</file>

<file path=xl/ctrlProps/ctrlProp25.xml><?xml version="1.0" encoding="utf-8"?>
<formControlPr xmlns="http://schemas.microsoft.com/office/spreadsheetml/2009/9/main" objectType="CheckBox" fmlaLink="#REF!" lockText="1" noThreeD="1"/>
</file>

<file path=xl/ctrlProps/ctrlProp26.xml><?xml version="1.0" encoding="utf-8"?>
<formControlPr xmlns="http://schemas.microsoft.com/office/spreadsheetml/2009/9/main" objectType="CheckBox" fmlaLink="#REF!" lockText="1" noThreeD="1"/>
</file>

<file path=xl/ctrlProps/ctrlProp27.xml><?xml version="1.0" encoding="utf-8"?>
<formControlPr xmlns="http://schemas.microsoft.com/office/spreadsheetml/2009/9/main" objectType="CheckBox" fmlaLink="#REF!" lockText="1" noThreeD="1"/>
</file>

<file path=xl/ctrlProps/ctrlProp28.xml><?xml version="1.0" encoding="utf-8"?>
<formControlPr xmlns="http://schemas.microsoft.com/office/spreadsheetml/2009/9/main" objectType="CheckBox" fmlaLink="#REF!" lockText="1" noThreeD="1"/>
</file>

<file path=xl/ctrlProps/ctrlProp29.xml><?xml version="1.0" encoding="utf-8"?>
<formControlPr xmlns="http://schemas.microsoft.com/office/spreadsheetml/2009/9/main" objectType="CheckBox" fmlaLink="#REF!" lockText="1" noThreeD="1"/>
</file>

<file path=xl/ctrlProps/ctrlProp30.xml><?xml version="1.0" encoding="utf-8"?>
<formControlPr xmlns="http://schemas.microsoft.com/office/spreadsheetml/2009/9/main" objectType="CheckBox" fmlaLink="#REF!"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REF!" lockText="1" noThreeD="1"/>
</file>

<file path=xl/ctrlProps/ctrlProp33.xml><?xml version="1.0" encoding="utf-8"?>
<formControlPr xmlns="http://schemas.microsoft.com/office/spreadsheetml/2009/9/main" objectType="CheckBox" fmlaLink="$AB$2" lockText="1" noThreeD="1"/>
</file>

<file path=xl/ctrlProps/ctrlProp34.xml><?xml version="1.0" encoding="utf-8"?>
<formControlPr xmlns="http://schemas.microsoft.com/office/spreadsheetml/2009/9/main" objectType="CheckBox" checked="Checked" fmlaLink="$AB$4" lockText="1" noThreeD="1"/>
</file>

<file path=xl/ctrlProps/ctrlProp35.xml><?xml version="1.0" encoding="utf-8"?>
<formControlPr xmlns="http://schemas.microsoft.com/office/spreadsheetml/2009/9/main" objectType="CheckBox" fmlaLink="$AB$3" lockText="1" noThreeD="1"/>
</file>

<file path=xl/ctrlProps/ctrlProp36.xml><?xml version="1.0" encoding="utf-8"?>
<formControlPr xmlns="http://schemas.microsoft.com/office/spreadsheetml/2009/9/main" objectType="CheckBox" fmlaLink="$AB$5"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1025" name="Line 1">
          <a:extLst>
            <a:ext uri="{FF2B5EF4-FFF2-40B4-BE49-F238E27FC236}">
              <a16:creationId xmlns:a16="http://schemas.microsoft.com/office/drawing/2014/main" id="{00000000-0008-0000-0000-000001040000}"/>
            </a:ext>
          </a:extLst>
        </xdr:cNvPr>
        <xdr:cNvSpPr>
          <a:spLocks noChangeShapeType="1"/>
        </xdr:cNvSpPr>
      </xdr:nvSpPr>
      <xdr:spPr bwMode="auto">
        <a:xfrm flipV="1">
          <a:off x="13335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1026" name="Line 2">
          <a:extLst>
            <a:ext uri="{FF2B5EF4-FFF2-40B4-BE49-F238E27FC236}">
              <a16:creationId xmlns:a16="http://schemas.microsoft.com/office/drawing/2014/main" id="{00000000-0008-0000-0000-000002040000}"/>
            </a:ext>
          </a:extLst>
        </xdr:cNvPr>
        <xdr:cNvSpPr>
          <a:spLocks noChangeShapeType="1"/>
        </xdr:cNvSpPr>
      </xdr:nvSpPr>
      <xdr:spPr bwMode="auto">
        <a:xfrm>
          <a:off x="123825" y="0"/>
          <a:ext cx="9620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1027" name="Line 3">
          <a:extLst>
            <a:ext uri="{FF2B5EF4-FFF2-40B4-BE49-F238E27FC236}">
              <a16:creationId xmlns:a16="http://schemas.microsoft.com/office/drawing/2014/main" id="{00000000-0008-0000-0000-000003040000}"/>
            </a:ext>
          </a:extLst>
        </xdr:cNvPr>
        <xdr:cNvSpPr>
          <a:spLocks noChangeShapeType="1"/>
        </xdr:cNvSpPr>
      </xdr:nvSpPr>
      <xdr:spPr bwMode="auto">
        <a:xfrm>
          <a:off x="114300" y="0"/>
          <a:ext cx="97155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28" name="Line 4">
          <a:extLst>
            <a:ext uri="{FF2B5EF4-FFF2-40B4-BE49-F238E27FC236}">
              <a16:creationId xmlns:a16="http://schemas.microsoft.com/office/drawing/2014/main" id="{00000000-0008-0000-0000-000004040000}"/>
            </a:ext>
          </a:extLst>
        </xdr:cNvPr>
        <xdr:cNvSpPr>
          <a:spLocks noChangeShapeType="1"/>
        </xdr:cNvSpPr>
      </xdr:nvSpPr>
      <xdr:spPr bwMode="auto">
        <a:xfrm>
          <a:off x="108585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1029" name="Line 5">
          <a:extLst>
            <a:ext uri="{FF2B5EF4-FFF2-40B4-BE49-F238E27FC236}">
              <a16:creationId xmlns:a16="http://schemas.microsoft.com/office/drawing/2014/main" id="{00000000-0008-0000-0000-000005040000}"/>
            </a:ext>
          </a:extLst>
        </xdr:cNvPr>
        <xdr:cNvSpPr>
          <a:spLocks noChangeShapeType="1"/>
        </xdr:cNvSpPr>
      </xdr:nvSpPr>
      <xdr:spPr bwMode="auto">
        <a:xfrm flipH="1">
          <a:off x="9525" y="0"/>
          <a:ext cx="1143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30" name="Line 6">
          <a:extLst>
            <a:ext uri="{FF2B5EF4-FFF2-40B4-BE49-F238E27FC236}">
              <a16:creationId xmlns:a16="http://schemas.microsoft.com/office/drawing/2014/main" id="{00000000-0008-0000-0000-000006040000}"/>
            </a:ext>
          </a:extLst>
        </xdr:cNvPr>
        <xdr:cNvSpPr>
          <a:spLocks noChangeShapeType="1"/>
        </xdr:cNvSpPr>
      </xdr:nvSpPr>
      <xdr:spPr bwMode="auto">
        <a:xfrm flipH="1">
          <a:off x="108585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1031" name="Line 7">
          <a:extLst>
            <a:ext uri="{FF2B5EF4-FFF2-40B4-BE49-F238E27FC236}">
              <a16:creationId xmlns:a16="http://schemas.microsoft.com/office/drawing/2014/main" id="{00000000-0008-0000-0000-000007040000}"/>
            </a:ext>
          </a:extLst>
        </xdr:cNvPr>
        <xdr:cNvSpPr>
          <a:spLocks noChangeShapeType="1"/>
        </xdr:cNvSpPr>
      </xdr:nvSpPr>
      <xdr:spPr bwMode="auto">
        <a:xfrm flipV="1">
          <a:off x="108585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1032" name="Line 8">
          <a:extLst>
            <a:ext uri="{FF2B5EF4-FFF2-40B4-BE49-F238E27FC236}">
              <a16:creationId xmlns:a16="http://schemas.microsoft.com/office/drawing/2014/main" id="{00000000-0008-0000-0000-000008040000}"/>
            </a:ext>
          </a:extLst>
        </xdr:cNvPr>
        <xdr:cNvSpPr>
          <a:spLocks noChangeShapeType="1"/>
        </xdr:cNvSpPr>
      </xdr:nvSpPr>
      <xdr:spPr bwMode="auto">
        <a:xfrm>
          <a:off x="1143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33" name="Line 9">
          <a:extLst>
            <a:ext uri="{FF2B5EF4-FFF2-40B4-BE49-F238E27FC236}">
              <a16:creationId xmlns:a16="http://schemas.microsoft.com/office/drawing/2014/main" id="{00000000-0008-0000-0000-000009040000}"/>
            </a:ext>
          </a:extLst>
        </xdr:cNvPr>
        <xdr:cNvSpPr>
          <a:spLocks noChangeShapeType="1"/>
        </xdr:cNvSpPr>
      </xdr:nvSpPr>
      <xdr:spPr bwMode="auto">
        <a:xfrm flipV="1">
          <a:off x="1514475"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034" name="Line 10">
          <a:extLst>
            <a:ext uri="{FF2B5EF4-FFF2-40B4-BE49-F238E27FC236}">
              <a16:creationId xmlns:a16="http://schemas.microsoft.com/office/drawing/2014/main" id="{00000000-0008-0000-0000-00000A040000}"/>
            </a:ext>
          </a:extLst>
        </xdr:cNvPr>
        <xdr:cNvSpPr>
          <a:spLocks noChangeShapeType="1"/>
        </xdr:cNvSpPr>
      </xdr:nvSpPr>
      <xdr:spPr bwMode="auto">
        <a:xfrm>
          <a:off x="0" y="0"/>
          <a:ext cx="78676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035" name="Line 11">
          <a:extLst>
            <a:ext uri="{FF2B5EF4-FFF2-40B4-BE49-F238E27FC236}">
              <a16:creationId xmlns:a16="http://schemas.microsoft.com/office/drawing/2014/main" id="{00000000-0008-0000-0000-00000B040000}"/>
            </a:ext>
          </a:extLst>
        </xdr:cNvPr>
        <xdr:cNvSpPr>
          <a:spLocks noChangeShapeType="1"/>
        </xdr:cNvSpPr>
      </xdr:nvSpPr>
      <xdr:spPr bwMode="auto">
        <a:xfrm flipH="1">
          <a:off x="19050" y="0"/>
          <a:ext cx="97345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036" name="Line 12">
          <a:extLst>
            <a:ext uri="{FF2B5EF4-FFF2-40B4-BE49-F238E27FC236}">
              <a16:creationId xmlns:a16="http://schemas.microsoft.com/office/drawing/2014/main" id="{00000000-0008-0000-0000-00000C040000}"/>
            </a:ext>
          </a:extLst>
        </xdr:cNvPr>
        <xdr:cNvSpPr>
          <a:spLocks noChangeShapeType="1"/>
        </xdr:cNvSpPr>
      </xdr:nvSpPr>
      <xdr:spPr bwMode="auto">
        <a:xfrm>
          <a:off x="9525" y="0"/>
          <a:ext cx="107632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37" name="Line 13">
          <a:extLst>
            <a:ext uri="{FF2B5EF4-FFF2-40B4-BE49-F238E27FC236}">
              <a16:creationId xmlns:a16="http://schemas.microsoft.com/office/drawing/2014/main" id="{00000000-0008-0000-0000-00000D040000}"/>
            </a:ext>
          </a:extLst>
        </xdr:cNvPr>
        <xdr:cNvSpPr>
          <a:spLocks noChangeShapeType="1"/>
        </xdr:cNvSpPr>
      </xdr:nvSpPr>
      <xdr:spPr bwMode="auto">
        <a:xfrm flipH="1" flipV="1">
          <a:off x="1514475"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038" name="Line 14">
          <a:extLst>
            <a:ext uri="{FF2B5EF4-FFF2-40B4-BE49-F238E27FC236}">
              <a16:creationId xmlns:a16="http://schemas.microsoft.com/office/drawing/2014/main" id="{00000000-0008-0000-0000-00000E04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039" name="Line 15">
          <a:extLst>
            <a:ext uri="{FF2B5EF4-FFF2-40B4-BE49-F238E27FC236}">
              <a16:creationId xmlns:a16="http://schemas.microsoft.com/office/drawing/2014/main" id="{00000000-0008-0000-0000-00000F040000}"/>
            </a:ext>
          </a:extLst>
        </xdr:cNvPr>
        <xdr:cNvSpPr>
          <a:spLocks noChangeShapeType="1"/>
        </xdr:cNvSpPr>
      </xdr:nvSpPr>
      <xdr:spPr bwMode="auto">
        <a:xfrm>
          <a:off x="0" y="0"/>
          <a:ext cx="975360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040" name="Line 16">
          <a:extLst>
            <a:ext uri="{FF2B5EF4-FFF2-40B4-BE49-F238E27FC236}">
              <a16:creationId xmlns:a16="http://schemas.microsoft.com/office/drawing/2014/main" id="{00000000-0008-0000-0000-000010040000}"/>
            </a:ext>
          </a:extLst>
        </xdr:cNvPr>
        <xdr:cNvSpPr>
          <a:spLocks noChangeShapeType="1"/>
        </xdr:cNvSpPr>
      </xdr:nvSpPr>
      <xdr:spPr bwMode="auto">
        <a:xfrm flipH="1" flipV="1">
          <a:off x="97536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041" name="Line 17">
          <a:extLst>
            <a:ext uri="{FF2B5EF4-FFF2-40B4-BE49-F238E27FC236}">
              <a16:creationId xmlns:a16="http://schemas.microsoft.com/office/drawing/2014/main" id="{00000000-0008-0000-0000-000011040000}"/>
            </a:ext>
          </a:extLst>
        </xdr:cNvPr>
        <xdr:cNvSpPr>
          <a:spLocks noChangeShapeType="1"/>
        </xdr:cNvSpPr>
      </xdr:nvSpPr>
      <xdr:spPr bwMode="auto">
        <a:xfrm flipH="1" flipV="1">
          <a:off x="0" y="165100"/>
          <a:ext cx="1016000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042" name="Line 18">
          <a:extLst>
            <a:ext uri="{FF2B5EF4-FFF2-40B4-BE49-F238E27FC236}">
              <a16:creationId xmlns:a16="http://schemas.microsoft.com/office/drawing/2014/main" id="{00000000-0008-0000-0000-00001204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1043" name="Line 19">
          <a:extLst>
            <a:ext uri="{FF2B5EF4-FFF2-40B4-BE49-F238E27FC236}">
              <a16:creationId xmlns:a16="http://schemas.microsoft.com/office/drawing/2014/main" id="{00000000-0008-0000-0000-000013040000}"/>
            </a:ext>
          </a:extLst>
        </xdr:cNvPr>
        <xdr:cNvSpPr>
          <a:spLocks noChangeShapeType="1"/>
        </xdr:cNvSpPr>
      </xdr:nvSpPr>
      <xdr:spPr bwMode="auto">
        <a:xfrm>
          <a:off x="1104900" y="0"/>
          <a:ext cx="6867525"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26</xdr:col>
      <xdr:colOff>0</xdr:colOff>
      <xdr:row>0</xdr:row>
      <xdr:rowOff>0</xdr:rowOff>
    </xdr:to>
    <xdr:sp macro="" textlink="">
      <xdr:nvSpPr>
        <xdr:cNvPr id="1044" name="Line 20">
          <a:extLst>
            <a:ext uri="{FF2B5EF4-FFF2-40B4-BE49-F238E27FC236}">
              <a16:creationId xmlns:a16="http://schemas.microsoft.com/office/drawing/2014/main" id="{00000000-0008-0000-0000-000014040000}"/>
            </a:ext>
          </a:extLst>
        </xdr:cNvPr>
        <xdr:cNvSpPr>
          <a:spLocks noChangeShapeType="1"/>
        </xdr:cNvSpPr>
      </xdr:nvSpPr>
      <xdr:spPr bwMode="auto">
        <a:xfrm>
          <a:off x="904875" y="0"/>
          <a:ext cx="86391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1045" name="Line 21">
          <a:extLst>
            <a:ext uri="{FF2B5EF4-FFF2-40B4-BE49-F238E27FC236}">
              <a16:creationId xmlns:a16="http://schemas.microsoft.com/office/drawing/2014/main" id="{00000000-0008-0000-0000-000015040000}"/>
            </a:ext>
          </a:extLst>
        </xdr:cNvPr>
        <xdr:cNvSpPr>
          <a:spLocks noChangeShapeType="1"/>
        </xdr:cNvSpPr>
      </xdr:nvSpPr>
      <xdr:spPr bwMode="auto">
        <a:xfrm>
          <a:off x="19050" y="0"/>
          <a:ext cx="868680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1046" name="Line 22">
          <a:extLst>
            <a:ext uri="{FF2B5EF4-FFF2-40B4-BE49-F238E27FC236}">
              <a16:creationId xmlns:a16="http://schemas.microsoft.com/office/drawing/2014/main" id="{00000000-0008-0000-0000-000016040000}"/>
            </a:ext>
          </a:extLst>
        </xdr:cNvPr>
        <xdr:cNvSpPr>
          <a:spLocks noChangeShapeType="1"/>
        </xdr:cNvSpPr>
      </xdr:nvSpPr>
      <xdr:spPr bwMode="auto">
        <a:xfrm>
          <a:off x="1266825"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47" name="Line 23">
          <a:extLst>
            <a:ext uri="{FF2B5EF4-FFF2-40B4-BE49-F238E27FC236}">
              <a16:creationId xmlns:a16="http://schemas.microsoft.com/office/drawing/2014/main" id="{00000000-0008-0000-0000-000017040000}"/>
            </a:ext>
          </a:extLst>
        </xdr:cNvPr>
        <xdr:cNvSpPr>
          <a:spLocks noChangeShapeType="1"/>
        </xdr:cNvSpPr>
      </xdr:nvSpPr>
      <xdr:spPr bwMode="auto">
        <a:xfrm flipV="1">
          <a:off x="1514475"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48" name="Line 24">
          <a:extLst>
            <a:ext uri="{FF2B5EF4-FFF2-40B4-BE49-F238E27FC236}">
              <a16:creationId xmlns:a16="http://schemas.microsoft.com/office/drawing/2014/main" id="{00000000-0008-0000-0000-000018040000}"/>
            </a:ext>
          </a:extLst>
        </xdr:cNvPr>
        <xdr:cNvSpPr>
          <a:spLocks noChangeShapeType="1"/>
        </xdr:cNvSpPr>
      </xdr:nvSpPr>
      <xdr:spPr bwMode="auto">
        <a:xfrm>
          <a:off x="108585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1049" name="Line 25">
          <a:extLst>
            <a:ext uri="{FF2B5EF4-FFF2-40B4-BE49-F238E27FC236}">
              <a16:creationId xmlns:a16="http://schemas.microsoft.com/office/drawing/2014/main" id="{00000000-0008-0000-0000-000019040000}"/>
            </a:ext>
          </a:extLst>
        </xdr:cNvPr>
        <xdr:cNvSpPr>
          <a:spLocks noChangeShapeType="1"/>
        </xdr:cNvSpPr>
      </xdr:nvSpPr>
      <xdr:spPr bwMode="auto">
        <a:xfrm>
          <a:off x="7943850"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1050" name="Line 26">
          <a:extLst>
            <a:ext uri="{FF2B5EF4-FFF2-40B4-BE49-F238E27FC236}">
              <a16:creationId xmlns:a16="http://schemas.microsoft.com/office/drawing/2014/main" id="{00000000-0008-0000-0000-00001A040000}"/>
            </a:ext>
          </a:extLst>
        </xdr:cNvPr>
        <xdr:cNvSpPr>
          <a:spLocks noChangeShapeType="1"/>
        </xdr:cNvSpPr>
      </xdr:nvSpPr>
      <xdr:spPr bwMode="auto">
        <a:xfrm>
          <a:off x="7772400" y="0"/>
          <a:ext cx="1781175"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1051" name="Line 27">
          <a:extLst>
            <a:ext uri="{FF2B5EF4-FFF2-40B4-BE49-F238E27FC236}">
              <a16:creationId xmlns:a16="http://schemas.microsoft.com/office/drawing/2014/main" id="{00000000-0008-0000-0000-00001B040000}"/>
            </a:ext>
          </a:extLst>
        </xdr:cNvPr>
        <xdr:cNvSpPr>
          <a:spLocks noChangeShapeType="1"/>
        </xdr:cNvSpPr>
      </xdr:nvSpPr>
      <xdr:spPr bwMode="auto">
        <a:xfrm>
          <a:off x="6734175" y="0"/>
          <a:ext cx="123825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52" name="Line 28">
          <a:extLst>
            <a:ext uri="{FF2B5EF4-FFF2-40B4-BE49-F238E27FC236}">
              <a16:creationId xmlns:a16="http://schemas.microsoft.com/office/drawing/2014/main" id="{00000000-0008-0000-0000-00001C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1053" name="Line 29">
          <a:extLst>
            <a:ext uri="{FF2B5EF4-FFF2-40B4-BE49-F238E27FC236}">
              <a16:creationId xmlns:a16="http://schemas.microsoft.com/office/drawing/2014/main" id="{00000000-0008-0000-0000-00001D040000}"/>
            </a:ext>
          </a:extLst>
        </xdr:cNvPr>
        <xdr:cNvSpPr>
          <a:spLocks noChangeShapeType="1"/>
        </xdr:cNvSpPr>
      </xdr:nvSpPr>
      <xdr:spPr bwMode="auto">
        <a:xfrm>
          <a:off x="6972300"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1054" name="Line 30">
          <a:extLst>
            <a:ext uri="{FF2B5EF4-FFF2-40B4-BE49-F238E27FC236}">
              <a16:creationId xmlns:a16="http://schemas.microsoft.com/office/drawing/2014/main" id="{00000000-0008-0000-0000-00001E040000}"/>
            </a:ext>
          </a:extLst>
        </xdr:cNvPr>
        <xdr:cNvSpPr>
          <a:spLocks noChangeShapeType="1"/>
        </xdr:cNvSpPr>
      </xdr:nvSpPr>
      <xdr:spPr bwMode="auto">
        <a:xfrm>
          <a:off x="8696325" y="0"/>
          <a:ext cx="10572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1055" name="Line 31">
          <a:extLst>
            <a:ext uri="{FF2B5EF4-FFF2-40B4-BE49-F238E27FC236}">
              <a16:creationId xmlns:a16="http://schemas.microsoft.com/office/drawing/2014/main" id="{00000000-0008-0000-0000-00001F040000}"/>
            </a:ext>
          </a:extLst>
        </xdr:cNvPr>
        <xdr:cNvSpPr>
          <a:spLocks noChangeShapeType="1"/>
        </xdr:cNvSpPr>
      </xdr:nvSpPr>
      <xdr:spPr bwMode="auto">
        <a:xfrm>
          <a:off x="7705725"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6" name="Line 32">
          <a:extLst>
            <a:ext uri="{FF2B5EF4-FFF2-40B4-BE49-F238E27FC236}">
              <a16:creationId xmlns:a16="http://schemas.microsoft.com/office/drawing/2014/main" id="{00000000-0008-0000-0000-000020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7" name="Line 33">
          <a:extLst>
            <a:ext uri="{FF2B5EF4-FFF2-40B4-BE49-F238E27FC236}">
              <a16:creationId xmlns:a16="http://schemas.microsoft.com/office/drawing/2014/main" id="{00000000-0008-0000-0000-000021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8" name="Line 34">
          <a:extLst>
            <a:ext uri="{FF2B5EF4-FFF2-40B4-BE49-F238E27FC236}">
              <a16:creationId xmlns:a16="http://schemas.microsoft.com/office/drawing/2014/main" id="{00000000-0008-0000-0000-000022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9" name="Line 35">
          <a:extLst>
            <a:ext uri="{FF2B5EF4-FFF2-40B4-BE49-F238E27FC236}">
              <a16:creationId xmlns:a16="http://schemas.microsoft.com/office/drawing/2014/main" id="{00000000-0008-0000-0000-000023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1060" name="Line 36">
          <a:extLst>
            <a:ext uri="{FF2B5EF4-FFF2-40B4-BE49-F238E27FC236}">
              <a16:creationId xmlns:a16="http://schemas.microsoft.com/office/drawing/2014/main" id="{00000000-0008-0000-0000-000024040000}"/>
            </a:ext>
          </a:extLst>
        </xdr:cNvPr>
        <xdr:cNvSpPr>
          <a:spLocks noChangeShapeType="1"/>
        </xdr:cNvSpPr>
      </xdr:nvSpPr>
      <xdr:spPr bwMode="auto">
        <a:xfrm>
          <a:off x="7715250" y="0"/>
          <a:ext cx="2038350"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1061" name="Line 37">
          <a:extLst>
            <a:ext uri="{FF2B5EF4-FFF2-40B4-BE49-F238E27FC236}">
              <a16:creationId xmlns:a16="http://schemas.microsoft.com/office/drawing/2014/main" id="{00000000-0008-0000-0000-000025040000}"/>
            </a:ext>
          </a:extLst>
        </xdr:cNvPr>
        <xdr:cNvSpPr>
          <a:spLocks noChangeShapeType="1"/>
        </xdr:cNvSpPr>
      </xdr:nvSpPr>
      <xdr:spPr bwMode="auto">
        <a:xfrm>
          <a:off x="821055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1062" name="Line 38">
          <a:extLst>
            <a:ext uri="{FF2B5EF4-FFF2-40B4-BE49-F238E27FC236}">
              <a16:creationId xmlns:a16="http://schemas.microsoft.com/office/drawing/2014/main" id="{00000000-0008-0000-0000-000026040000}"/>
            </a:ext>
          </a:extLst>
        </xdr:cNvPr>
        <xdr:cNvSpPr>
          <a:spLocks noChangeShapeType="1"/>
        </xdr:cNvSpPr>
      </xdr:nvSpPr>
      <xdr:spPr bwMode="auto">
        <a:xfrm flipH="1">
          <a:off x="9096375"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1063" name="Line 39">
          <a:extLst>
            <a:ext uri="{FF2B5EF4-FFF2-40B4-BE49-F238E27FC236}">
              <a16:creationId xmlns:a16="http://schemas.microsoft.com/office/drawing/2014/main" id="{00000000-0008-0000-0000-000027040000}"/>
            </a:ext>
          </a:extLst>
        </xdr:cNvPr>
        <xdr:cNvSpPr>
          <a:spLocks noChangeShapeType="1"/>
        </xdr:cNvSpPr>
      </xdr:nvSpPr>
      <xdr:spPr bwMode="auto">
        <a:xfrm flipV="1">
          <a:off x="909637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1064" name="Line 40">
          <a:extLst>
            <a:ext uri="{FF2B5EF4-FFF2-40B4-BE49-F238E27FC236}">
              <a16:creationId xmlns:a16="http://schemas.microsoft.com/office/drawing/2014/main" id="{00000000-0008-0000-0000-000028040000}"/>
            </a:ext>
          </a:extLst>
        </xdr:cNvPr>
        <xdr:cNvSpPr>
          <a:spLocks noChangeShapeType="1"/>
        </xdr:cNvSpPr>
      </xdr:nvSpPr>
      <xdr:spPr bwMode="auto">
        <a:xfrm>
          <a:off x="9096375"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1065" name="Line 41">
          <a:extLst>
            <a:ext uri="{FF2B5EF4-FFF2-40B4-BE49-F238E27FC236}">
              <a16:creationId xmlns:a16="http://schemas.microsoft.com/office/drawing/2014/main" id="{00000000-0008-0000-0000-000029040000}"/>
            </a:ext>
          </a:extLst>
        </xdr:cNvPr>
        <xdr:cNvSpPr>
          <a:spLocks noChangeShapeType="1"/>
        </xdr:cNvSpPr>
      </xdr:nvSpPr>
      <xdr:spPr bwMode="auto">
        <a:xfrm>
          <a:off x="8677275"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1066" name="Line 42">
          <a:extLst>
            <a:ext uri="{FF2B5EF4-FFF2-40B4-BE49-F238E27FC236}">
              <a16:creationId xmlns:a16="http://schemas.microsoft.com/office/drawing/2014/main" id="{00000000-0008-0000-0000-00002A040000}"/>
            </a:ext>
          </a:extLst>
        </xdr:cNvPr>
        <xdr:cNvSpPr>
          <a:spLocks noChangeShapeType="1"/>
        </xdr:cNvSpPr>
      </xdr:nvSpPr>
      <xdr:spPr bwMode="auto">
        <a:xfrm>
          <a:off x="9544050"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1067" name="Line 43">
          <a:extLst>
            <a:ext uri="{FF2B5EF4-FFF2-40B4-BE49-F238E27FC236}">
              <a16:creationId xmlns:a16="http://schemas.microsoft.com/office/drawing/2014/main" id="{00000000-0008-0000-0000-00002B040000}"/>
            </a:ext>
          </a:extLst>
        </xdr:cNvPr>
        <xdr:cNvSpPr>
          <a:spLocks noChangeShapeType="1"/>
        </xdr:cNvSpPr>
      </xdr:nvSpPr>
      <xdr:spPr bwMode="auto">
        <a:xfrm>
          <a:off x="5286375" y="0"/>
          <a:ext cx="1905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68" name="Line 44">
          <a:extLst>
            <a:ext uri="{FF2B5EF4-FFF2-40B4-BE49-F238E27FC236}">
              <a16:creationId xmlns:a16="http://schemas.microsoft.com/office/drawing/2014/main" id="{00000000-0008-0000-0000-00002C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1069" name="Line 45">
          <a:extLst>
            <a:ext uri="{FF2B5EF4-FFF2-40B4-BE49-F238E27FC236}">
              <a16:creationId xmlns:a16="http://schemas.microsoft.com/office/drawing/2014/main" id="{00000000-0008-0000-0000-00002D040000}"/>
            </a:ext>
          </a:extLst>
        </xdr:cNvPr>
        <xdr:cNvSpPr>
          <a:spLocks noChangeShapeType="1"/>
        </xdr:cNvSpPr>
      </xdr:nvSpPr>
      <xdr:spPr bwMode="auto">
        <a:xfrm>
          <a:off x="6467475" y="0"/>
          <a:ext cx="24765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1070" name="Line 46">
          <a:extLst>
            <a:ext uri="{FF2B5EF4-FFF2-40B4-BE49-F238E27FC236}">
              <a16:creationId xmlns:a16="http://schemas.microsoft.com/office/drawing/2014/main" id="{00000000-0008-0000-0000-00002E040000}"/>
            </a:ext>
          </a:extLst>
        </xdr:cNvPr>
        <xdr:cNvSpPr>
          <a:spLocks noChangeShapeType="1"/>
        </xdr:cNvSpPr>
      </xdr:nvSpPr>
      <xdr:spPr bwMode="auto">
        <a:xfrm>
          <a:off x="5286375" y="0"/>
          <a:ext cx="1276350"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6496050" y="0"/>
          <a:ext cx="85725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1072" name="Line 48">
          <a:extLst>
            <a:ext uri="{FF2B5EF4-FFF2-40B4-BE49-F238E27FC236}">
              <a16:creationId xmlns:a16="http://schemas.microsoft.com/office/drawing/2014/main" id="{00000000-0008-0000-0000-000030040000}"/>
            </a:ext>
          </a:extLst>
        </xdr:cNvPr>
        <xdr:cNvSpPr>
          <a:spLocks noChangeShapeType="1"/>
        </xdr:cNvSpPr>
      </xdr:nvSpPr>
      <xdr:spPr bwMode="auto">
        <a:xfrm>
          <a:off x="36195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1074" name="Line 50">
          <a:extLst>
            <a:ext uri="{FF2B5EF4-FFF2-40B4-BE49-F238E27FC236}">
              <a16:creationId xmlns:a16="http://schemas.microsoft.com/office/drawing/2014/main" id="{00000000-0008-0000-0000-000032040000}"/>
            </a:ext>
          </a:extLst>
        </xdr:cNvPr>
        <xdr:cNvSpPr>
          <a:spLocks noChangeShapeType="1"/>
        </xdr:cNvSpPr>
      </xdr:nvSpPr>
      <xdr:spPr bwMode="auto">
        <a:xfrm>
          <a:off x="1266825"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1075" name="Line 51">
          <a:extLst>
            <a:ext uri="{FF2B5EF4-FFF2-40B4-BE49-F238E27FC236}">
              <a16:creationId xmlns:a16="http://schemas.microsoft.com/office/drawing/2014/main" id="{00000000-0008-0000-0000-000033040000}"/>
            </a:ext>
          </a:extLst>
        </xdr:cNvPr>
        <xdr:cNvSpPr>
          <a:spLocks noChangeShapeType="1"/>
        </xdr:cNvSpPr>
      </xdr:nvSpPr>
      <xdr:spPr bwMode="auto">
        <a:xfrm>
          <a:off x="1514475" y="0"/>
          <a:ext cx="495300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1076" name="Line 52">
          <a:extLst>
            <a:ext uri="{FF2B5EF4-FFF2-40B4-BE49-F238E27FC236}">
              <a16:creationId xmlns:a16="http://schemas.microsoft.com/office/drawing/2014/main" id="{00000000-0008-0000-0000-000034040000}"/>
            </a:ext>
          </a:extLst>
        </xdr:cNvPr>
        <xdr:cNvSpPr>
          <a:spLocks noChangeShapeType="1"/>
        </xdr:cNvSpPr>
      </xdr:nvSpPr>
      <xdr:spPr bwMode="auto">
        <a:xfrm flipH="1">
          <a:off x="4152900"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1077" name="Line 53">
          <a:extLst>
            <a:ext uri="{FF2B5EF4-FFF2-40B4-BE49-F238E27FC236}">
              <a16:creationId xmlns:a16="http://schemas.microsoft.com/office/drawing/2014/main" id="{00000000-0008-0000-0000-000035040000}"/>
            </a:ext>
          </a:extLst>
        </xdr:cNvPr>
        <xdr:cNvSpPr>
          <a:spLocks noChangeShapeType="1"/>
        </xdr:cNvSpPr>
      </xdr:nvSpPr>
      <xdr:spPr bwMode="auto">
        <a:xfrm>
          <a:off x="5305425"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1078" name="Line 54">
          <a:extLst>
            <a:ext uri="{FF2B5EF4-FFF2-40B4-BE49-F238E27FC236}">
              <a16:creationId xmlns:a16="http://schemas.microsoft.com/office/drawing/2014/main" id="{00000000-0008-0000-0000-000036040000}"/>
            </a:ext>
          </a:extLst>
        </xdr:cNvPr>
        <xdr:cNvSpPr>
          <a:spLocks noChangeShapeType="1"/>
        </xdr:cNvSpPr>
      </xdr:nvSpPr>
      <xdr:spPr bwMode="auto">
        <a:xfrm>
          <a:off x="4171950" y="0"/>
          <a:ext cx="113347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1079" name="Line 55">
          <a:extLst>
            <a:ext uri="{FF2B5EF4-FFF2-40B4-BE49-F238E27FC236}">
              <a16:creationId xmlns:a16="http://schemas.microsoft.com/office/drawing/2014/main" id="{00000000-0008-0000-0000-000037040000}"/>
            </a:ext>
          </a:extLst>
        </xdr:cNvPr>
        <xdr:cNvSpPr>
          <a:spLocks noChangeShapeType="1"/>
        </xdr:cNvSpPr>
      </xdr:nvSpPr>
      <xdr:spPr bwMode="auto">
        <a:xfrm>
          <a:off x="47244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1080" name="Line 56">
          <a:extLst>
            <a:ext uri="{FF2B5EF4-FFF2-40B4-BE49-F238E27FC236}">
              <a16:creationId xmlns:a16="http://schemas.microsoft.com/office/drawing/2014/main" id="{00000000-0008-0000-0000-000038040000}"/>
            </a:ext>
          </a:extLst>
        </xdr:cNvPr>
        <xdr:cNvSpPr>
          <a:spLocks noChangeShapeType="1"/>
        </xdr:cNvSpPr>
      </xdr:nvSpPr>
      <xdr:spPr bwMode="auto">
        <a:xfrm>
          <a:off x="588645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1081" name="Line 57">
          <a:extLst>
            <a:ext uri="{FF2B5EF4-FFF2-40B4-BE49-F238E27FC236}">
              <a16:creationId xmlns:a16="http://schemas.microsoft.com/office/drawing/2014/main" id="{00000000-0008-0000-0000-000039040000}"/>
            </a:ext>
          </a:extLst>
        </xdr:cNvPr>
        <xdr:cNvSpPr>
          <a:spLocks noChangeShapeType="1"/>
        </xdr:cNvSpPr>
      </xdr:nvSpPr>
      <xdr:spPr bwMode="auto">
        <a:xfrm>
          <a:off x="6715125"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1082" name="Line 58">
          <a:extLst>
            <a:ext uri="{FF2B5EF4-FFF2-40B4-BE49-F238E27FC236}">
              <a16:creationId xmlns:a16="http://schemas.microsoft.com/office/drawing/2014/main" id="{00000000-0008-0000-0000-00003A040000}"/>
            </a:ext>
          </a:extLst>
        </xdr:cNvPr>
        <xdr:cNvSpPr>
          <a:spLocks noChangeShapeType="1"/>
        </xdr:cNvSpPr>
      </xdr:nvSpPr>
      <xdr:spPr bwMode="auto">
        <a:xfrm>
          <a:off x="7210425"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1083" name="Line 59">
          <a:extLst>
            <a:ext uri="{FF2B5EF4-FFF2-40B4-BE49-F238E27FC236}">
              <a16:creationId xmlns:a16="http://schemas.microsoft.com/office/drawing/2014/main" id="{00000000-0008-0000-0000-00003B040000}"/>
            </a:ext>
          </a:extLst>
        </xdr:cNvPr>
        <xdr:cNvSpPr>
          <a:spLocks noChangeShapeType="1"/>
        </xdr:cNvSpPr>
      </xdr:nvSpPr>
      <xdr:spPr bwMode="auto">
        <a:xfrm>
          <a:off x="7458075"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1084" name="Line 60">
          <a:extLst>
            <a:ext uri="{FF2B5EF4-FFF2-40B4-BE49-F238E27FC236}">
              <a16:creationId xmlns:a16="http://schemas.microsoft.com/office/drawing/2014/main" id="{00000000-0008-0000-0000-00003C040000}"/>
            </a:ext>
          </a:extLst>
        </xdr:cNvPr>
        <xdr:cNvSpPr>
          <a:spLocks noChangeShapeType="1"/>
        </xdr:cNvSpPr>
      </xdr:nvSpPr>
      <xdr:spPr bwMode="auto">
        <a:xfrm>
          <a:off x="32289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85" name="Line 61">
          <a:extLst>
            <a:ext uri="{FF2B5EF4-FFF2-40B4-BE49-F238E27FC236}">
              <a16:creationId xmlns:a16="http://schemas.microsoft.com/office/drawing/2014/main" id="{00000000-0008-0000-0000-00003D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1086" name="Line 62">
          <a:extLst>
            <a:ext uri="{FF2B5EF4-FFF2-40B4-BE49-F238E27FC236}">
              <a16:creationId xmlns:a16="http://schemas.microsoft.com/office/drawing/2014/main" id="{00000000-0008-0000-0000-00003E040000}"/>
            </a:ext>
          </a:extLst>
        </xdr:cNvPr>
        <xdr:cNvSpPr>
          <a:spLocks noChangeShapeType="1"/>
        </xdr:cNvSpPr>
      </xdr:nvSpPr>
      <xdr:spPr bwMode="auto">
        <a:xfrm>
          <a:off x="6705600"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1087" name="Line 63">
          <a:extLst>
            <a:ext uri="{FF2B5EF4-FFF2-40B4-BE49-F238E27FC236}">
              <a16:creationId xmlns:a16="http://schemas.microsoft.com/office/drawing/2014/main" id="{00000000-0008-0000-0000-00003F040000}"/>
            </a:ext>
          </a:extLst>
        </xdr:cNvPr>
        <xdr:cNvSpPr>
          <a:spLocks noChangeShapeType="1"/>
        </xdr:cNvSpPr>
      </xdr:nvSpPr>
      <xdr:spPr bwMode="auto">
        <a:xfrm>
          <a:off x="8201025"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1088" name="Line 64">
          <a:extLst>
            <a:ext uri="{FF2B5EF4-FFF2-40B4-BE49-F238E27FC236}">
              <a16:creationId xmlns:a16="http://schemas.microsoft.com/office/drawing/2014/main" id="{00000000-0008-0000-0000-000040040000}"/>
            </a:ext>
          </a:extLst>
        </xdr:cNvPr>
        <xdr:cNvSpPr>
          <a:spLocks noChangeShapeType="1"/>
        </xdr:cNvSpPr>
      </xdr:nvSpPr>
      <xdr:spPr bwMode="auto">
        <a:xfrm>
          <a:off x="7210425"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1089" name="Line 65">
          <a:extLst>
            <a:ext uri="{FF2B5EF4-FFF2-40B4-BE49-F238E27FC236}">
              <a16:creationId xmlns:a16="http://schemas.microsoft.com/office/drawing/2014/main" id="{00000000-0008-0000-0000-000041040000}"/>
            </a:ext>
          </a:extLst>
        </xdr:cNvPr>
        <xdr:cNvSpPr>
          <a:spLocks noChangeShapeType="1"/>
        </xdr:cNvSpPr>
      </xdr:nvSpPr>
      <xdr:spPr bwMode="auto">
        <a:xfrm>
          <a:off x="7458075"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1090" name="Line 66">
          <a:extLst>
            <a:ext uri="{FF2B5EF4-FFF2-40B4-BE49-F238E27FC236}">
              <a16:creationId xmlns:a16="http://schemas.microsoft.com/office/drawing/2014/main" id="{00000000-0008-0000-0000-000042040000}"/>
            </a:ext>
          </a:extLst>
        </xdr:cNvPr>
        <xdr:cNvSpPr>
          <a:spLocks noChangeShapeType="1"/>
        </xdr:cNvSpPr>
      </xdr:nvSpPr>
      <xdr:spPr bwMode="auto">
        <a:xfrm>
          <a:off x="770572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91" name="Line 67">
          <a:extLst>
            <a:ext uri="{FF2B5EF4-FFF2-40B4-BE49-F238E27FC236}">
              <a16:creationId xmlns:a16="http://schemas.microsoft.com/office/drawing/2014/main" id="{00000000-0008-0000-0000-000043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92" name="Line 68">
          <a:extLst>
            <a:ext uri="{FF2B5EF4-FFF2-40B4-BE49-F238E27FC236}">
              <a16:creationId xmlns:a16="http://schemas.microsoft.com/office/drawing/2014/main" id="{00000000-0008-0000-0000-000044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1094" name="Line 70">
          <a:extLst>
            <a:ext uri="{FF2B5EF4-FFF2-40B4-BE49-F238E27FC236}">
              <a16:creationId xmlns:a16="http://schemas.microsoft.com/office/drawing/2014/main" id="{00000000-0008-0000-0000-000046040000}"/>
            </a:ext>
          </a:extLst>
        </xdr:cNvPr>
        <xdr:cNvSpPr>
          <a:spLocks noChangeShapeType="1"/>
        </xdr:cNvSpPr>
      </xdr:nvSpPr>
      <xdr:spPr bwMode="auto">
        <a:xfrm>
          <a:off x="123825" y="1704975"/>
          <a:ext cx="962025" cy="0"/>
        </a:xfrm>
        <a:prstGeom prst="line">
          <a:avLst/>
        </a:prstGeom>
        <a:noFill/>
        <a:ln w="9525">
          <a:solidFill>
            <a:srgbClr val="000000"/>
          </a:solidFill>
          <a:round/>
          <a:headEnd/>
          <a:tailEnd/>
        </a:ln>
      </xdr:spPr>
    </xdr:sp>
    <xdr:clientData/>
  </xdr:twoCellAnchor>
  <xdr:twoCellAnchor>
    <xdr:from>
      <xdr:col>1</xdr:col>
      <xdr:colOff>22860</xdr:colOff>
      <xdr:row>5</xdr:row>
      <xdr:rowOff>975360</xdr:rowOff>
    </xdr:from>
    <xdr:to>
      <xdr:col>6</xdr:col>
      <xdr:colOff>22860</xdr:colOff>
      <xdr:row>5</xdr:row>
      <xdr:rowOff>975360</xdr:rowOff>
    </xdr:to>
    <xdr:sp macro="" textlink="">
      <xdr:nvSpPr>
        <xdr:cNvPr id="1095" name="Line 71">
          <a:extLst>
            <a:ext uri="{FF2B5EF4-FFF2-40B4-BE49-F238E27FC236}">
              <a16:creationId xmlns:a16="http://schemas.microsoft.com/office/drawing/2014/main" id="{00000000-0008-0000-0000-000047040000}"/>
            </a:ext>
          </a:extLst>
        </xdr:cNvPr>
        <xdr:cNvSpPr>
          <a:spLocks noChangeShapeType="1"/>
        </xdr:cNvSpPr>
      </xdr:nvSpPr>
      <xdr:spPr bwMode="auto">
        <a:xfrm>
          <a:off x="335280" y="3931920"/>
          <a:ext cx="187452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1096" name="Line 72">
          <a:extLst>
            <a:ext uri="{FF2B5EF4-FFF2-40B4-BE49-F238E27FC236}">
              <a16:creationId xmlns:a16="http://schemas.microsoft.com/office/drawing/2014/main" id="{00000000-0008-0000-0000-000048040000}"/>
            </a:ext>
          </a:extLst>
        </xdr:cNvPr>
        <xdr:cNvSpPr>
          <a:spLocks noChangeShapeType="1"/>
        </xdr:cNvSpPr>
      </xdr:nvSpPr>
      <xdr:spPr bwMode="auto">
        <a:xfrm flipH="1">
          <a:off x="9525" y="1704975"/>
          <a:ext cx="114300" cy="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7</xdr:col>
          <xdr:colOff>247650</xdr:colOff>
          <xdr:row>0</xdr:row>
          <xdr:rowOff>200025</xdr:rowOff>
        </xdr:from>
        <xdr:to>
          <xdr:col>8</xdr:col>
          <xdr:colOff>1524000</xdr:colOff>
          <xdr:row>0</xdr:row>
          <xdr:rowOff>342900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1343025</xdr:colOff>
          <xdr:row>0</xdr:row>
          <xdr:rowOff>581025</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1162050</xdr:colOff>
          <xdr:row>0</xdr:row>
          <xdr:rowOff>342900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352425</xdr:rowOff>
        </xdr:from>
        <xdr:to>
          <xdr:col>9</xdr:col>
          <xdr:colOff>1409700</xdr:colOff>
          <xdr:row>1</xdr:row>
          <xdr:rowOff>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twoCellAnchor editAs="oneCell">
    <xdr:from>
      <xdr:col>13</xdr:col>
      <xdr:colOff>660400</xdr:colOff>
      <xdr:row>0</xdr:row>
      <xdr:rowOff>63501</xdr:rowOff>
    </xdr:from>
    <xdr:to>
      <xdr:col>13</xdr:col>
      <xdr:colOff>1202690</xdr:colOff>
      <xdr:row>0</xdr:row>
      <xdr:rowOff>513716</xdr:rowOff>
    </xdr:to>
    <xdr:pic>
      <xdr:nvPicPr>
        <xdr:cNvPr id="86" name="Picture 85" descr="QatarEnergy - Wikipedia">
          <a:extLst>
            <a:ext uri="{FF2B5EF4-FFF2-40B4-BE49-F238E27FC236}">
              <a16:creationId xmlns:a16="http://schemas.microsoft.com/office/drawing/2014/main" id="{00000000-0008-0000-0000-00005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778750" y="63501"/>
          <a:ext cx="546100" cy="463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1421108</xdr:colOff>
      <xdr:row>31</xdr:row>
      <xdr:rowOff>180370</xdr:rowOff>
    </xdr:from>
    <xdr:to>
      <xdr:col>14</xdr:col>
      <xdr:colOff>280182</xdr:colOff>
      <xdr:row>35</xdr:row>
      <xdr:rowOff>453997</xdr:rowOff>
    </xdr:to>
    <xdr:pic>
      <xdr:nvPicPr>
        <xdr:cNvPr id="2" name="Picture 1">
          <a:extLst>
            <a:ext uri="{FF2B5EF4-FFF2-40B4-BE49-F238E27FC236}">
              <a16:creationId xmlns:a16="http://schemas.microsoft.com/office/drawing/2014/main" id="{D5EE209F-6855-48B1-8343-7D49F9B5315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939929" y="20536656"/>
          <a:ext cx="1866253" cy="13349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247650</xdr:colOff>
          <xdr:row>0</xdr:row>
          <xdr:rowOff>200025</xdr:rowOff>
        </xdr:from>
        <xdr:to>
          <xdr:col>8</xdr:col>
          <xdr:colOff>1552575</xdr:colOff>
          <xdr:row>0</xdr:row>
          <xdr:rowOff>342900</xdr:rowOff>
        </xdr:to>
        <xdr:sp macro="" textlink="">
          <xdr:nvSpPr>
            <xdr:cNvPr id="1243" name="Check Box 219" hidden="1">
              <a:extLst>
                <a:ext uri="{63B3BB69-23CF-44E3-9099-C40C66FF867C}">
                  <a14:compatExt spid="_x0000_s1243"/>
                </a:ext>
                <a:ext uri="{FF2B5EF4-FFF2-40B4-BE49-F238E27FC236}">
                  <a16:creationId xmlns:a16="http://schemas.microsoft.com/office/drawing/2014/main" id="{00000000-0008-0000-00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1343025</xdr:colOff>
          <xdr:row>0</xdr:row>
          <xdr:rowOff>590550</xdr:rowOff>
        </xdr:to>
        <xdr:sp macro="" textlink="">
          <xdr:nvSpPr>
            <xdr:cNvPr id="1244" name="Check Box 220" hidden="1">
              <a:extLst>
                <a:ext uri="{63B3BB69-23CF-44E3-9099-C40C66FF867C}">
                  <a14:compatExt spid="_x0000_s1244"/>
                </a:ext>
                <a:ext uri="{FF2B5EF4-FFF2-40B4-BE49-F238E27FC236}">
                  <a16:creationId xmlns:a16="http://schemas.microsoft.com/office/drawing/2014/main" id="{00000000-0008-0000-0000-0000D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1162050</xdr:colOff>
          <xdr:row>0</xdr:row>
          <xdr:rowOff>352425</xdr:rowOff>
        </xdr:to>
        <xdr:sp macro="" textlink="">
          <xdr:nvSpPr>
            <xdr:cNvPr id="1245" name="Check Box 221" hidden="1">
              <a:extLst>
                <a:ext uri="{63B3BB69-23CF-44E3-9099-C40C66FF867C}">
                  <a14:compatExt spid="_x0000_s1245"/>
                </a:ext>
                <a:ext uri="{FF2B5EF4-FFF2-40B4-BE49-F238E27FC236}">
                  <a16:creationId xmlns:a16="http://schemas.microsoft.com/office/drawing/2014/main" id="{00000000-0008-0000-0000-0000D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352425</xdr:rowOff>
        </xdr:from>
        <xdr:to>
          <xdr:col>9</xdr:col>
          <xdr:colOff>1409700</xdr:colOff>
          <xdr:row>0</xdr:row>
          <xdr:rowOff>590550</xdr:rowOff>
        </xdr:to>
        <xdr:sp macro="" textlink="">
          <xdr:nvSpPr>
            <xdr:cNvPr id="1246" name="Check Box 222" hidden="1">
              <a:extLst>
                <a:ext uri="{63B3BB69-23CF-44E3-9099-C40C66FF867C}">
                  <a14:compatExt spid="_x0000_s1246"/>
                </a:ext>
                <a:ext uri="{FF2B5EF4-FFF2-40B4-BE49-F238E27FC236}">
                  <a16:creationId xmlns:a16="http://schemas.microsoft.com/office/drawing/2014/main" id="{00000000-0008-0000-0000-0000D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39D37B74-D495-4050-BF2B-03291F1819B3}"/>
            </a:ext>
          </a:extLst>
        </xdr:cNvPr>
        <xdr:cNvSpPr>
          <a:spLocks noChangeShapeType="1"/>
        </xdr:cNvSpPr>
      </xdr:nvSpPr>
      <xdr:spPr bwMode="auto">
        <a:xfrm flipV="1">
          <a:off x="13335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13</xdr:col>
      <xdr:colOff>0</xdr:colOff>
      <xdr:row>0</xdr:row>
      <xdr:rowOff>0</xdr:rowOff>
    </xdr:to>
    <xdr:sp macro="" textlink="">
      <xdr:nvSpPr>
        <xdr:cNvPr id="3" name="Line 2">
          <a:extLst>
            <a:ext uri="{FF2B5EF4-FFF2-40B4-BE49-F238E27FC236}">
              <a16:creationId xmlns:a16="http://schemas.microsoft.com/office/drawing/2014/main" id="{F5AD086F-2181-40E8-9A24-29BC36FA50E6}"/>
            </a:ext>
          </a:extLst>
        </xdr:cNvPr>
        <xdr:cNvSpPr>
          <a:spLocks noChangeShapeType="1"/>
        </xdr:cNvSpPr>
      </xdr:nvSpPr>
      <xdr:spPr bwMode="auto">
        <a:xfrm>
          <a:off x="123825" y="0"/>
          <a:ext cx="719137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13</xdr:col>
      <xdr:colOff>0</xdr:colOff>
      <xdr:row>0</xdr:row>
      <xdr:rowOff>0</xdr:rowOff>
    </xdr:to>
    <xdr:sp macro="" textlink="">
      <xdr:nvSpPr>
        <xdr:cNvPr id="4" name="Line 3">
          <a:extLst>
            <a:ext uri="{FF2B5EF4-FFF2-40B4-BE49-F238E27FC236}">
              <a16:creationId xmlns:a16="http://schemas.microsoft.com/office/drawing/2014/main" id="{07B2E586-7B12-4E10-A789-3177A40B7D81}"/>
            </a:ext>
          </a:extLst>
        </xdr:cNvPr>
        <xdr:cNvSpPr>
          <a:spLocks noChangeShapeType="1"/>
        </xdr:cNvSpPr>
      </xdr:nvSpPr>
      <xdr:spPr bwMode="auto">
        <a:xfrm>
          <a:off x="114300" y="0"/>
          <a:ext cx="720090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 name="Line 4">
          <a:extLst>
            <a:ext uri="{FF2B5EF4-FFF2-40B4-BE49-F238E27FC236}">
              <a16:creationId xmlns:a16="http://schemas.microsoft.com/office/drawing/2014/main" id="{FE7D0186-BF60-4F98-8757-6ACAFF210D77}"/>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F8F5CBF4-C037-4483-9D3B-F862E96D211C}"/>
            </a:ext>
          </a:extLst>
        </xdr:cNvPr>
        <xdr:cNvSpPr>
          <a:spLocks noChangeShapeType="1"/>
        </xdr:cNvSpPr>
      </xdr:nvSpPr>
      <xdr:spPr bwMode="auto">
        <a:xfrm flipH="1">
          <a:off x="9525" y="0"/>
          <a:ext cx="11430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7" name="Line 6">
          <a:extLst>
            <a:ext uri="{FF2B5EF4-FFF2-40B4-BE49-F238E27FC236}">
              <a16:creationId xmlns:a16="http://schemas.microsoft.com/office/drawing/2014/main" id="{3F3725D2-7565-434E-94FF-A175C1286B0C}"/>
            </a:ext>
          </a:extLst>
        </xdr:cNvPr>
        <xdr:cNvSpPr>
          <a:spLocks noChangeShapeType="1"/>
        </xdr:cNvSpPr>
      </xdr:nvSpPr>
      <xdr:spPr bwMode="auto">
        <a:xfrm flipH="1">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8" name="Line 7">
          <a:extLst>
            <a:ext uri="{FF2B5EF4-FFF2-40B4-BE49-F238E27FC236}">
              <a16:creationId xmlns:a16="http://schemas.microsoft.com/office/drawing/2014/main" id="{092ACA70-2C63-4EB7-A490-9632CEDA0E56}"/>
            </a:ext>
          </a:extLst>
        </xdr:cNvPr>
        <xdr:cNvSpPr>
          <a:spLocks noChangeShapeType="1"/>
        </xdr:cNvSpPr>
      </xdr:nvSpPr>
      <xdr:spPr bwMode="auto">
        <a:xfrm flipV="1">
          <a:off x="7315200" y="0"/>
          <a:ext cx="0"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F89DADB5-EAE8-4C39-B2AC-3F310401D732}"/>
            </a:ext>
          </a:extLst>
        </xdr:cNvPr>
        <xdr:cNvSpPr>
          <a:spLocks noChangeShapeType="1"/>
        </xdr:cNvSpPr>
      </xdr:nvSpPr>
      <xdr:spPr bwMode="auto">
        <a:xfrm>
          <a:off x="1143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10" name="Line 9">
          <a:extLst>
            <a:ext uri="{FF2B5EF4-FFF2-40B4-BE49-F238E27FC236}">
              <a16:creationId xmlns:a16="http://schemas.microsoft.com/office/drawing/2014/main" id="{57CA66F6-BDC3-422F-AB7F-0FC1563AFEFC}"/>
            </a:ext>
          </a:extLst>
        </xdr:cNvPr>
        <xdr:cNvSpPr>
          <a:spLocks noChangeShapeType="1"/>
        </xdr:cNvSpPr>
      </xdr:nvSpPr>
      <xdr:spPr bwMode="auto">
        <a:xfrm flipV="1">
          <a:off x="73152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15</xdr:col>
      <xdr:colOff>161925</xdr:colOff>
      <xdr:row>0</xdr:row>
      <xdr:rowOff>0</xdr:rowOff>
    </xdr:to>
    <xdr:sp macro="" textlink="">
      <xdr:nvSpPr>
        <xdr:cNvPr id="11" name="Line 10">
          <a:extLst>
            <a:ext uri="{FF2B5EF4-FFF2-40B4-BE49-F238E27FC236}">
              <a16:creationId xmlns:a16="http://schemas.microsoft.com/office/drawing/2014/main" id="{D7634CA6-6899-4166-967A-616F11A4B1A6}"/>
            </a:ext>
          </a:extLst>
        </xdr:cNvPr>
        <xdr:cNvSpPr>
          <a:spLocks noChangeShapeType="1"/>
        </xdr:cNvSpPr>
      </xdr:nvSpPr>
      <xdr:spPr bwMode="auto">
        <a:xfrm>
          <a:off x="0" y="0"/>
          <a:ext cx="772858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21</xdr:col>
      <xdr:colOff>0</xdr:colOff>
      <xdr:row>0</xdr:row>
      <xdr:rowOff>0</xdr:rowOff>
    </xdr:to>
    <xdr:sp macro="" textlink="">
      <xdr:nvSpPr>
        <xdr:cNvPr id="12" name="Line 11">
          <a:extLst>
            <a:ext uri="{FF2B5EF4-FFF2-40B4-BE49-F238E27FC236}">
              <a16:creationId xmlns:a16="http://schemas.microsoft.com/office/drawing/2014/main" id="{7F0885F0-9F09-407E-BD96-718A019DB09B}"/>
            </a:ext>
          </a:extLst>
        </xdr:cNvPr>
        <xdr:cNvSpPr>
          <a:spLocks noChangeShapeType="1"/>
        </xdr:cNvSpPr>
      </xdr:nvSpPr>
      <xdr:spPr bwMode="auto">
        <a:xfrm flipH="1">
          <a:off x="19050" y="0"/>
          <a:ext cx="960501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14" name="Line 13">
          <a:extLst>
            <a:ext uri="{FF2B5EF4-FFF2-40B4-BE49-F238E27FC236}">
              <a16:creationId xmlns:a16="http://schemas.microsoft.com/office/drawing/2014/main" id="{E43B3424-2989-4EA3-9E8A-10098785230D}"/>
            </a:ext>
          </a:extLst>
        </xdr:cNvPr>
        <xdr:cNvSpPr>
          <a:spLocks noChangeShapeType="1"/>
        </xdr:cNvSpPr>
      </xdr:nvSpPr>
      <xdr:spPr bwMode="auto">
        <a:xfrm flipH="1" flipV="1">
          <a:off x="73152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C7A20687-E053-4E5C-B765-3C3E38438AA9}"/>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17" name="Line 16">
          <a:extLst>
            <a:ext uri="{FF2B5EF4-FFF2-40B4-BE49-F238E27FC236}">
              <a16:creationId xmlns:a16="http://schemas.microsoft.com/office/drawing/2014/main" id="{0E6DB8CF-574F-4F63-8AE6-133B0FC2A270}"/>
            </a:ext>
          </a:extLst>
        </xdr:cNvPr>
        <xdr:cNvSpPr>
          <a:spLocks noChangeShapeType="1"/>
        </xdr:cNvSpPr>
      </xdr:nvSpPr>
      <xdr:spPr bwMode="auto">
        <a:xfrm flipH="1" flipV="1">
          <a:off x="962406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77873A13-1286-459A-8493-5CF57F65AE14}"/>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16</xdr:col>
      <xdr:colOff>19050</xdr:colOff>
      <xdr:row>0</xdr:row>
      <xdr:rowOff>0</xdr:rowOff>
    </xdr:to>
    <xdr:sp macro="" textlink="">
      <xdr:nvSpPr>
        <xdr:cNvPr id="20" name="Line 19">
          <a:extLst>
            <a:ext uri="{FF2B5EF4-FFF2-40B4-BE49-F238E27FC236}">
              <a16:creationId xmlns:a16="http://schemas.microsoft.com/office/drawing/2014/main" id="{5A75FAC5-CEDE-4571-B750-E8C580E9C8D8}"/>
            </a:ext>
          </a:extLst>
        </xdr:cNvPr>
        <xdr:cNvSpPr>
          <a:spLocks noChangeShapeType="1"/>
        </xdr:cNvSpPr>
      </xdr:nvSpPr>
      <xdr:spPr bwMode="auto">
        <a:xfrm>
          <a:off x="7315200" y="0"/>
          <a:ext cx="52197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20</xdr:col>
      <xdr:colOff>0</xdr:colOff>
      <xdr:row>0</xdr:row>
      <xdr:rowOff>0</xdr:rowOff>
    </xdr:to>
    <xdr:sp macro="" textlink="">
      <xdr:nvSpPr>
        <xdr:cNvPr id="21" name="Line 20">
          <a:extLst>
            <a:ext uri="{FF2B5EF4-FFF2-40B4-BE49-F238E27FC236}">
              <a16:creationId xmlns:a16="http://schemas.microsoft.com/office/drawing/2014/main" id="{803417BB-2CFC-4250-A8C4-BFE8D8E5719E}"/>
            </a:ext>
          </a:extLst>
        </xdr:cNvPr>
        <xdr:cNvSpPr>
          <a:spLocks noChangeShapeType="1"/>
        </xdr:cNvSpPr>
      </xdr:nvSpPr>
      <xdr:spPr bwMode="auto">
        <a:xfrm>
          <a:off x="7315200" y="0"/>
          <a:ext cx="212598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23" name="Line 22">
          <a:extLst>
            <a:ext uri="{FF2B5EF4-FFF2-40B4-BE49-F238E27FC236}">
              <a16:creationId xmlns:a16="http://schemas.microsoft.com/office/drawing/2014/main" id="{E38C5383-E1E2-4FB2-803A-3B1EE55B6165}"/>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24" name="Line 23">
          <a:extLst>
            <a:ext uri="{FF2B5EF4-FFF2-40B4-BE49-F238E27FC236}">
              <a16:creationId xmlns:a16="http://schemas.microsoft.com/office/drawing/2014/main" id="{E4D8CACD-6AF7-4B8A-8AE5-1C3AB92339DA}"/>
            </a:ext>
          </a:extLst>
        </xdr:cNvPr>
        <xdr:cNvSpPr>
          <a:spLocks noChangeShapeType="1"/>
        </xdr:cNvSpPr>
      </xdr:nvSpPr>
      <xdr:spPr bwMode="auto">
        <a:xfrm flipV="1">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25" name="Line 24">
          <a:extLst>
            <a:ext uri="{FF2B5EF4-FFF2-40B4-BE49-F238E27FC236}">
              <a16:creationId xmlns:a16="http://schemas.microsoft.com/office/drawing/2014/main" id="{8DEA8DA5-A76F-4043-9877-F1989088CEF4}"/>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15</xdr:col>
      <xdr:colOff>238125</xdr:colOff>
      <xdr:row>0</xdr:row>
      <xdr:rowOff>0</xdr:rowOff>
    </xdr:from>
    <xdr:to>
      <xdr:col>15</xdr:col>
      <xdr:colOff>238125</xdr:colOff>
      <xdr:row>0</xdr:row>
      <xdr:rowOff>0</xdr:rowOff>
    </xdr:to>
    <xdr:sp macro="" textlink="">
      <xdr:nvSpPr>
        <xdr:cNvPr id="26" name="Line 25">
          <a:extLst>
            <a:ext uri="{FF2B5EF4-FFF2-40B4-BE49-F238E27FC236}">
              <a16:creationId xmlns:a16="http://schemas.microsoft.com/office/drawing/2014/main" id="{AC402EBE-F9E4-49A0-B2B6-31F33FC05756}"/>
            </a:ext>
          </a:extLst>
        </xdr:cNvPr>
        <xdr:cNvSpPr>
          <a:spLocks noChangeShapeType="1"/>
        </xdr:cNvSpPr>
      </xdr:nvSpPr>
      <xdr:spPr bwMode="auto">
        <a:xfrm>
          <a:off x="7804785" y="0"/>
          <a:ext cx="0" cy="0"/>
        </a:xfrm>
        <a:prstGeom prst="line">
          <a:avLst/>
        </a:prstGeom>
        <a:noFill/>
        <a:ln w="9525">
          <a:solidFill>
            <a:srgbClr val="000000"/>
          </a:solidFill>
          <a:round/>
          <a:headEnd/>
          <a:tailEnd/>
        </a:ln>
      </xdr:spPr>
    </xdr:sp>
    <xdr:clientData/>
  </xdr:twoCellAnchor>
  <xdr:twoCellAnchor>
    <xdr:from>
      <xdr:col>15</xdr:col>
      <xdr:colOff>66675</xdr:colOff>
      <xdr:row>0</xdr:row>
      <xdr:rowOff>0</xdr:rowOff>
    </xdr:from>
    <xdr:to>
      <xdr:col>20</xdr:col>
      <xdr:colOff>9525</xdr:colOff>
      <xdr:row>0</xdr:row>
      <xdr:rowOff>0</xdr:rowOff>
    </xdr:to>
    <xdr:sp macro="" textlink="">
      <xdr:nvSpPr>
        <xdr:cNvPr id="27" name="Line 26">
          <a:extLst>
            <a:ext uri="{FF2B5EF4-FFF2-40B4-BE49-F238E27FC236}">
              <a16:creationId xmlns:a16="http://schemas.microsoft.com/office/drawing/2014/main" id="{96D73EE2-51C0-41BC-A7B8-510C1F8A7FBA}"/>
            </a:ext>
          </a:extLst>
        </xdr:cNvPr>
        <xdr:cNvSpPr>
          <a:spLocks noChangeShapeType="1"/>
        </xdr:cNvSpPr>
      </xdr:nvSpPr>
      <xdr:spPr bwMode="auto">
        <a:xfrm>
          <a:off x="7633335" y="0"/>
          <a:ext cx="181737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16</xdr:col>
      <xdr:colOff>19050</xdr:colOff>
      <xdr:row>0</xdr:row>
      <xdr:rowOff>0</xdr:rowOff>
    </xdr:to>
    <xdr:sp macro="" textlink="">
      <xdr:nvSpPr>
        <xdr:cNvPr id="28" name="Line 27">
          <a:extLst>
            <a:ext uri="{FF2B5EF4-FFF2-40B4-BE49-F238E27FC236}">
              <a16:creationId xmlns:a16="http://schemas.microsoft.com/office/drawing/2014/main" id="{E1C173E0-33AF-41C4-8AD2-2B639AC36619}"/>
            </a:ext>
          </a:extLst>
        </xdr:cNvPr>
        <xdr:cNvSpPr>
          <a:spLocks noChangeShapeType="1"/>
        </xdr:cNvSpPr>
      </xdr:nvSpPr>
      <xdr:spPr bwMode="auto">
        <a:xfrm>
          <a:off x="7315200" y="0"/>
          <a:ext cx="52197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29" name="Line 28">
          <a:extLst>
            <a:ext uri="{FF2B5EF4-FFF2-40B4-BE49-F238E27FC236}">
              <a16:creationId xmlns:a16="http://schemas.microsoft.com/office/drawing/2014/main" id="{9A0D37FB-49A5-454B-9068-FB9B2A9878B7}"/>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30" name="Line 29">
          <a:extLst>
            <a:ext uri="{FF2B5EF4-FFF2-40B4-BE49-F238E27FC236}">
              <a16:creationId xmlns:a16="http://schemas.microsoft.com/office/drawing/2014/main" id="{FBEEAE58-9B30-4083-99C8-A2652F74C1B6}"/>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21</xdr:col>
      <xdr:colOff>0</xdr:colOff>
      <xdr:row>0</xdr:row>
      <xdr:rowOff>0</xdr:rowOff>
    </xdr:to>
    <xdr:sp macro="" textlink="">
      <xdr:nvSpPr>
        <xdr:cNvPr id="31" name="Line 30">
          <a:extLst>
            <a:ext uri="{FF2B5EF4-FFF2-40B4-BE49-F238E27FC236}">
              <a16:creationId xmlns:a16="http://schemas.microsoft.com/office/drawing/2014/main" id="{AF96420B-DFAF-4D3F-B722-3F0F7935A9D0}"/>
            </a:ext>
          </a:extLst>
        </xdr:cNvPr>
        <xdr:cNvSpPr>
          <a:spLocks noChangeShapeType="1"/>
        </xdr:cNvSpPr>
      </xdr:nvSpPr>
      <xdr:spPr bwMode="auto">
        <a:xfrm>
          <a:off x="8572500" y="0"/>
          <a:ext cx="1051560" cy="0"/>
        </a:xfrm>
        <a:prstGeom prst="line">
          <a:avLst/>
        </a:prstGeom>
        <a:noFill/>
        <a:ln w="9525">
          <a:solidFill>
            <a:srgbClr val="000000"/>
          </a:solidFill>
          <a:round/>
          <a:headEnd/>
          <a:tailEnd/>
        </a:ln>
      </xdr:spPr>
    </xdr:sp>
    <xdr:clientData/>
  </xdr:twoCellAnchor>
  <xdr:twoCellAnchor>
    <xdr:from>
      <xdr:col>15</xdr:col>
      <xdr:colOff>0</xdr:colOff>
      <xdr:row>0</xdr:row>
      <xdr:rowOff>0</xdr:rowOff>
    </xdr:from>
    <xdr:to>
      <xdr:col>15</xdr:col>
      <xdr:colOff>0</xdr:colOff>
      <xdr:row>0</xdr:row>
      <xdr:rowOff>0</xdr:rowOff>
    </xdr:to>
    <xdr:sp macro="" textlink="">
      <xdr:nvSpPr>
        <xdr:cNvPr id="32" name="Line 31">
          <a:extLst>
            <a:ext uri="{FF2B5EF4-FFF2-40B4-BE49-F238E27FC236}">
              <a16:creationId xmlns:a16="http://schemas.microsoft.com/office/drawing/2014/main" id="{D0AD6B78-0778-4222-A43D-30DB83847C35}"/>
            </a:ext>
          </a:extLst>
        </xdr:cNvPr>
        <xdr:cNvSpPr>
          <a:spLocks noChangeShapeType="1"/>
        </xdr:cNvSpPr>
      </xdr:nvSpPr>
      <xdr:spPr bwMode="auto">
        <a:xfrm>
          <a:off x="7566660" y="0"/>
          <a:ext cx="0" cy="0"/>
        </a:xfrm>
        <a:prstGeom prst="line">
          <a:avLst/>
        </a:prstGeom>
        <a:noFill/>
        <a:ln w="9525">
          <a:solidFill>
            <a:srgbClr val="000000"/>
          </a:solidFill>
          <a:round/>
          <a:headEnd/>
          <a:tailEnd/>
        </a:ln>
      </xdr:spPr>
    </xdr:sp>
    <xdr:clientData/>
  </xdr:twoCellAnchor>
  <xdr:twoCellAnchor>
    <xdr:from>
      <xdr:col>15</xdr:col>
      <xdr:colOff>0</xdr:colOff>
      <xdr:row>0</xdr:row>
      <xdr:rowOff>0</xdr:rowOff>
    </xdr:from>
    <xdr:to>
      <xdr:col>21</xdr:col>
      <xdr:colOff>0</xdr:colOff>
      <xdr:row>0</xdr:row>
      <xdr:rowOff>0</xdr:rowOff>
    </xdr:to>
    <xdr:sp macro="" textlink="">
      <xdr:nvSpPr>
        <xdr:cNvPr id="33" name="Line 32">
          <a:extLst>
            <a:ext uri="{FF2B5EF4-FFF2-40B4-BE49-F238E27FC236}">
              <a16:creationId xmlns:a16="http://schemas.microsoft.com/office/drawing/2014/main" id="{4045F615-86B3-46C5-AA91-F2CD998210C0}"/>
            </a:ext>
          </a:extLst>
        </xdr:cNvPr>
        <xdr:cNvSpPr>
          <a:spLocks noChangeShapeType="1"/>
        </xdr:cNvSpPr>
      </xdr:nvSpPr>
      <xdr:spPr bwMode="auto">
        <a:xfrm>
          <a:off x="7566660" y="0"/>
          <a:ext cx="2057400" cy="0"/>
        </a:xfrm>
        <a:prstGeom prst="line">
          <a:avLst/>
        </a:prstGeom>
        <a:noFill/>
        <a:ln w="9525">
          <a:solidFill>
            <a:srgbClr val="000000"/>
          </a:solidFill>
          <a:round/>
          <a:headEnd/>
          <a:tailEnd/>
        </a:ln>
      </xdr:spPr>
    </xdr:sp>
    <xdr:clientData/>
  </xdr:twoCellAnchor>
  <xdr:twoCellAnchor>
    <xdr:from>
      <xdr:col>15</xdr:col>
      <xdr:colOff>0</xdr:colOff>
      <xdr:row>0</xdr:row>
      <xdr:rowOff>0</xdr:rowOff>
    </xdr:from>
    <xdr:to>
      <xdr:col>21</xdr:col>
      <xdr:colOff>0</xdr:colOff>
      <xdr:row>0</xdr:row>
      <xdr:rowOff>0</xdr:rowOff>
    </xdr:to>
    <xdr:sp macro="" textlink="">
      <xdr:nvSpPr>
        <xdr:cNvPr id="34" name="Line 33">
          <a:extLst>
            <a:ext uri="{FF2B5EF4-FFF2-40B4-BE49-F238E27FC236}">
              <a16:creationId xmlns:a16="http://schemas.microsoft.com/office/drawing/2014/main" id="{986B9301-6B33-43C3-845C-E8CCC8305E9E}"/>
            </a:ext>
          </a:extLst>
        </xdr:cNvPr>
        <xdr:cNvSpPr>
          <a:spLocks noChangeShapeType="1"/>
        </xdr:cNvSpPr>
      </xdr:nvSpPr>
      <xdr:spPr bwMode="auto">
        <a:xfrm>
          <a:off x="7566660" y="0"/>
          <a:ext cx="2057400" cy="0"/>
        </a:xfrm>
        <a:prstGeom prst="line">
          <a:avLst/>
        </a:prstGeom>
        <a:noFill/>
        <a:ln w="9525">
          <a:solidFill>
            <a:srgbClr val="000000"/>
          </a:solidFill>
          <a:round/>
          <a:headEnd/>
          <a:tailEnd/>
        </a:ln>
      </xdr:spPr>
    </xdr:sp>
    <xdr:clientData/>
  </xdr:twoCellAnchor>
  <xdr:twoCellAnchor>
    <xdr:from>
      <xdr:col>15</xdr:col>
      <xdr:colOff>0</xdr:colOff>
      <xdr:row>0</xdr:row>
      <xdr:rowOff>0</xdr:rowOff>
    </xdr:from>
    <xdr:to>
      <xdr:col>21</xdr:col>
      <xdr:colOff>0</xdr:colOff>
      <xdr:row>0</xdr:row>
      <xdr:rowOff>0</xdr:rowOff>
    </xdr:to>
    <xdr:sp macro="" textlink="">
      <xdr:nvSpPr>
        <xdr:cNvPr id="35" name="Line 34">
          <a:extLst>
            <a:ext uri="{FF2B5EF4-FFF2-40B4-BE49-F238E27FC236}">
              <a16:creationId xmlns:a16="http://schemas.microsoft.com/office/drawing/2014/main" id="{3BD1497E-A3FF-420E-8DE1-FE11E41AB117}"/>
            </a:ext>
          </a:extLst>
        </xdr:cNvPr>
        <xdr:cNvSpPr>
          <a:spLocks noChangeShapeType="1"/>
        </xdr:cNvSpPr>
      </xdr:nvSpPr>
      <xdr:spPr bwMode="auto">
        <a:xfrm>
          <a:off x="7566660" y="0"/>
          <a:ext cx="2057400" cy="0"/>
        </a:xfrm>
        <a:prstGeom prst="line">
          <a:avLst/>
        </a:prstGeom>
        <a:noFill/>
        <a:ln w="9525">
          <a:solidFill>
            <a:srgbClr val="000000"/>
          </a:solidFill>
          <a:round/>
          <a:headEnd/>
          <a:tailEnd/>
        </a:ln>
      </xdr:spPr>
    </xdr:sp>
    <xdr:clientData/>
  </xdr:twoCellAnchor>
  <xdr:twoCellAnchor>
    <xdr:from>
      <xdr:col>15</xdr:col>
      <xdr:colOff>0</xdr:colOff>
      <xdr:row>0</xdr:row>
      <xdr:rowOff>0</xdr:rowOff>
    </xdr:from>
    <xdr:to>
      <xdr:col>21</xdr:col>
      <xdr:colOff>0</xdr:colOff>
      <xdr:row>0</xdr:row>
      <xdr:rowOff>0</xdr:rowOff>
    </xdr:to>
    <xdr:sp macro="" textlink="">
      <xdr:nvSpPr>
        <xdr:cNvPr id="36" name="Line 35">
          <a:extLst>
            <a:ext uri="{FF2B5EF4-FFF2-40B4-BE49-F238E27FC236}">
              <a16:creationId xmlns:a16="http://schemas.microsoft.com/office/drawing/2014/main" id="{4BA859A8-8078-41CE-ABD2-79111EC58EC4}"/>
            </a:ext>
          </a:extLst>
        </xdr:cNvPr>
        <xdr:cNvSpPr>
          <a:spLocks noChangeShapeType="1"/>
        </xdr:cNvSpPr>
      </xdr:nvSpPr>
      <xdr:spPr bwMode="auto">
        <a:xfrm>
          <a:off x="7566660" y="0"/>
          <a:ext cx="2057400" cy="0"/>
        </a:xfrm>
        <a:prstGeom prst="line">
          <a:avLst/>
        </a:prstGeom>
        <a:noFill/>
        <a:ln w="9525">
          <a:solidFill>
            <a:srgbClr val="000000"/>
          </a:solidFill>
          <a:round/>
          <a:headEnd/>
          <a:tailEnd/>
        </a:ln>
      </xdr:spPr>
    </xdr:sp>
    <xdr:clientData/>
  </xdr:twoCellAnchor>
  <xdr:twoCellAnchor>
    <xdr:from>
      <xdr:col>15</xdr:col>
      <xdr:colOff>9525</xdr:colOff>
      <xdr:row>0</xdr:row>
      <xdr:rowOff>0</xdr:rowOff>
    </xdr:from>
    <xdr:to>
      <xdr:col>21</xdr:col>
      <xdr:colOff>0</xdr:colOff>
      <xdr:row>0</xdr:row>
      <xdr:rowOff>0</xdr:rowOff>
    </xdr:to>
    <xdr:sp macro="" textlink="">
      <xdr:nvSpPr>
        <xdr:cNvPr id="37" name="Line 36">
          <a:extLst>
            <a:ext uri="{FF2B5EF4-FFF2-40B4-BE49-F238E27FC236}">
              <a16:creationId xmlns:a16="http://schemas.microsoft.com/office/drawing/2014/main" id="{7C0498E3-4DD3-42CD-9BDB-FDF7DC52D58C}"/>
            </a:ext>
          </a:extLst>
        </xdr:cNvPr>
        <xdr:cNvSpPr>
          <a:spLocks noChangeShapeType="1"/>
        </xdr:cNvSpPr>
      </xdr:nvSpPr>
      <xdr:spPr bwMode="auto">
        <a:xfrm>
          <a:off x="7576185" y="0"/>
          <a:ext cx="2047875" cy="0"/>
        </a:xfrm>
        <a:prstGeom prst="line">
          <a:avLst/>
        </a:prstGeom>
        <a:noFill/>
        <a:ln w="9525">
          <a:solidFill>
            <a:srgbClr val="000000"/>
          </a:solidFill>
          <a:round/>
          <a:headEnd/>
          <a:tailEnd/>
        </a:ln>
      </xdr:spPr>
    </xdr:sp>
    <xdr:clientData/>
  </xdr:twoCellAnchor>
  <xdr:twoCellAnchor>
    <xdr:from>
      <xdr:col>17</xdr:col>
      <xdr:colOff>9525</xdr:colOff>
      <xdr:row>0</xdr:row>
      <xdr:rowOff>0</xdr:rowOff>
    </xdr:from>
    <xdr:to>
      <xdr:col>17</xdr:col>
      <xdr:colOff>9525</xdr:colOff>
      <xdr:row>0</xdr:row>
      <xdr:rowOff>0</xdr:rowOff>
    </xdr:to>
    <xdr:sp macro="" textlink="">
      <xdr:nvSpPr>
        <xdr:cNvPr id="38" name="Line 37">
          <a:extLst>
            <a:ext uri="{FF2B5EF4-FFF2-40B4-BE49-F238E27FC236}">
              <a16:creationId xmlns:a16="http://schemas.microsoft.com/office/drawing/2014/main" id="{74B45E08-D5E4-45C6-82D5-C07CF1A23E14}"/>
            </a:ext>
          </a:extLst>
        </xdr:cNvPr>
        <xdr:cNvSpPr>
          <a:spLocks noChangeShapeType="1"/>
        </xdr:cNvSpPr>
      </xdr:nvSpPr>
      <xdr:spPr bwMode="auto">
        <a:xfrm>
          <a:off x="8079105" y="0"/>
          <a:ext cx="0" cy="0"/>
        </a:xfrm>
        <a:prstGeom prst="line">
          <a:avLst/>
        </a:prstGeom>
        <a:noFill/>
        <a:ln w="9525">
          <a:solidFill>
            <a:srgbClr val="000000"/>
          </a:solidFill>
          <a:round/>
          <a:headEnd/>
          <a:tailEnd/>
        </a:ln>
      </xdr:spPr>
    </xdr:sp>
    <xdr:clientData/>
  </xdr:twoCellAnchor>
  <xdr:twoCellAnchor>
    <xdr:from>
      <xdr:col>19</xdr:col>
      <xdr:colOff>400050</xdr:colOff>
      <xdr:row>0</xdr:row>
      <xdr:rowOff>0</xdr:rowOff>
    </xdr:from>
    <xdr:to>
      <xdr:col>19</xdr:col>
      <xdr:colOff>409575</xdr:colOff>
      <xdr:row>0</xdr:row>
      <xdr:rowOff>0</xdr:rowOff>
    </xdr:to>
    <xdr:sp macro="" textlink="">
      <xdr:nvSpPr>
        <xdr:cNvPr id="39" name="Line 38">
          <a:extLst>
            <a:ext uri="{FF2B5EF4-FFF2-40B4-BE49-F238E27FC236}">
              <a16:creationId xmlns:a16="http://schemas.microsoft.com/office/drawing/2014/main" id="{A449FA9E-360E-4CB4-9238-61F9A587B21A}"/>
            </a:ext>
          </a:extLst>
        </xdr:cNvPr>
        <xdr:cNvSpPr>
          <a:spLocks noChangeShapeType="1"/>
        </xdr:cNvSpPr>
      </xdr:nvSpPr>
      <xdr:spPr bwMode="auto">
        <a:xfrm flipH="1">
          <a:off x="8972550" y="0"/>
          <a:ext cx="9525" cy="0"/>
        </a:xfrm>
        <a:prstGeom prst="line">
          <a:avLst/>
        </a:prstGeom>
        <a:noFill/>
        <a:ln w="9525">
          <a:solidFill>
            <a:srgbClr val="000000"/>
          </a:solidFill>
          <a:round/>
          <a:headEnd/>
          <a:tailEnd/>
        </a:ln>
      </xdr:spPr>
    </xdr:sp>
    <xdr:clientData/>
  </xdr:twoCellAnchor>
  <xdr:twoCellAnchor>
    <xdr:from>
      <xdr:col>19</xdr:col>
      <xdr:colOff>400050</xdr:colOff>
      <xdr:row>0</xdr:row>
      <xdr:rowOff>0</xdr:rowOff>
    </xdr:from>
    <xdr:to>
      <xdr:col>19</xdr:col>
      <xdr:colOff>400050</xdr:colOff>
      <xdr:row>0</xdr:row>
      <xdr:rowOff>0</xdr:rowOff>
    </xdr:to>
    <xdr:sp macro="" textlink="">
      <xdr:nvSpPr>
        <xdr:cNvPr id="40" name="Line 39">
          <a:extLst>
            <a:ext uri="{FF2B5EF4-FFF2-40B4-BE49-F238E27FC236}">
              <a16:creationId xmlns:a16="http://schemas.microsoft.com/office/drawing/2014/main" id="{45FE2CDB-4B14-4B8D-9FAF-AF206E8E32DE}"/>
            </a:ext>
          </a:extLst>
        </xdr:cNvPr>
        <xdr:cNvSpPr>
          <a:spLocks noChangeShapeType="1"/>
        </xdr:cNvSpPr>
      </xdr:nvSpPr>
      <xdr:spPr bwMode="auto">
        <a:xfrm flipV="1">
          <a:off x="8972550" y="0"/>
          <a:ext cx="0" cy="0"/>
        </a:xfrm>
        <a:prstGeom prst="line">
          <a:avLst/>
        </a:prstGeom>
        <a:noFill/>
        <a:ln w="9525">
          <a:solidFill>
            <a:srgbClr val="000000"/>
          </a:solidFill>
          <a:round/>
          <a:headEnd/>
          <a:tailEnd/>
        </a:ln>
      </xdr:spPr>
    </xdr:sp>
    <xdr:clientData/>
  </xdr:twoCellAnchor>
  <xdr:twoCellAnchor>
    <xdr:from>
      <xdr:col>19</xdr:col>
      <xdr:colOff>400050</xdr:colOff>
      <xdr:row>0</xdr:row>
      <xdr:rowOff>0</xdr:rowOff>
    </xdr:from>
    <xdr:to>
      <xdr:col>19</xdr:col>
      <xdr:colOff>400050</xdr:colOff>
      <xdr:row>0</xdr:row>
      <xdr:rowOff>0</xdr:rowOff>
    </xdr:to>
    <xdr:sp macro="" textlink="">
      <xdr:nvSpPr>
        <xdr:cNvPr id="41" name="Line 40">
          <a:extLst>
            <a:ext uri="{FF2B5EF4-FFF2-40B4-BE49-F238E27FC236}">
              <a16:creationId xmlns:a16="http://schemas.microsoft.com/office/drawing/2014/main" id="{504E4362-4F1D-43E7-BCAC-194B94C79939}"/>
            </a:ext>
          </a:extLst>
        </xdr:cNvPr>
        <xdr:cNvSpPr>
          <a:spLocks noChangeShapeType="1"/>
        </xdr:cNvSpPr>
      </xdr:nvSpPr>
      <xdr:spPr bwMode="auto">
        <a:xfrm>
          <a:off x="8972550" y="0"/>
          <a:ext cx="0" cy="0"/>
        </a:xfrm>
        <a:prstGeom prst="line">
          <a:avLst/>
        </a:prstGeom>
        <a:noFill/>
        <a:ln w="9525">
          <a:solidFill>
            <a:srgbClr val="000000"/>
          </a:solidFill>
          <a:round/>
          <a:headEnd/>
          <a:tailEnd/>
        </a:ln>
      </xdr:spPr>
    </xdr:sp>
    <xdr:clientData/>
  </xdr:twoCellAnchor>
  <xdr:twoCellAnchor>
    <xdr:from>
      <xdr:col>18</xdr:col>
      <xdr:colOff>228600</xdr:colOff>
      <xdr:row>0</xdr:row>
      <xdr:rowOff>0</xdr:rowOff>
    </xdr:from>
    <xdr:to>
      <xdr:col>18</xdr:col>
      <xdr:colOff>228600</xdr:colOff>
      <xdr:row>0</xdr:row>
      <xdr:rowOff>0</xdr:rowOff>
    </xdr:to>
    <xdr:sp macro="" textlink="">
      <xdr:nvSpPr>
        <xdr:cNvPr id="42" name="Line 41">
          <a:extLst>
            <a:ext uri="{FF2B5EF4-FFF2-40B4-BE49-F238E27FC236}">
              <a16:creationId xmlns:a16="http://schemas.microsoft.com/office/drawing/2014/main" id="{3FF05B1D-CAA9-40D2-81DE-D3E9EEAD5E1C}"/>
            </a:ext>
          </a:extLst>
        </xdr:cNvPr>
        <xdr:cNvSpPr>
          <a:spLocks noChangeShapeType="1"/>
        </xdr:cNvSpPr>
      </xdr:nvSpPr>
      <xdr:spPr bwMode="auto">
        <a:xfrm>
          <a:off x="8549640" y="0"/>
          <a:ext cx="0" cy="0"/>
        </a:xfrm>
        <a:prstGeom prst="line">
          <a:avLst/>
        </a:prstGeom>
        <a:noFill/>
        <a:ln w="9525">
          <a:solidFill>
            <a:srgbClr val="000000"/>
          </a:solidFill>
          <a:round/>
          <a:headEnd/>
          <a:tailEnd/>
        </a:ln>
      </xdr:spPr>
    </xdr:sp>
    <xdr:clientData/>
  </xdr:twoCellAnchor>
  <xdr:twoCellAnchor>
    <xdr:from>
      <xdr:col>19</xdr:col>
      <xdr:colOff>847725</xdr:colOff>
      <xdr:row>0</xdr:row>
      <xdr:rowOff>0</xdr:rowOff>
    </xdr:from>
    <xdr:to>
      <xdr:col>19</xdr:col>
      <xdr:colOff>847725</xdr:colOff>
      <xdr:row>0</xdr:row>
      <xdr:rowOff>0</xdr:rowOff>
    </xdr:to>
    <xdr:sp macro="" textlink="">
      <xdr:nvSpPr>
        <xdr:cNvPr id="43" name="Line 42">
          <a:extLst>
            <a:ext uri="{FF2B5EF4-FFF2-40B4-BE49-F238E27FC236}">
              <a16:creationId xmlns:a16="http://schemas.microsoft.com/office/drawing/2014/main" id="{8EE80FD3-828F-47A8-95CC-2B749B7D9EB8}"/>
            </a:ext>
          </a:extLst>
        </xdr:cNvPr>
        <xdr:cNvSpPr>
          <a:spLocks noChangeShapeType="1"/>
        </xdr:cNvSpPr>
      </xdr:nvSpPr>
      <xdr:spPr bwMode="auto">
        <a:xfrm>
          <a:off x="9420225"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44" name="Line 43">
          <a:extLst>
            <a:ext uri="{FF2B5EF4-FFF2-40B4-BE49-F238E27FC236}">
              <a16:creationId xmlns:a16="http://schemas.microsoft.com/office/drawing/2014/main" id="{A2D27AF0-17F4-49EA-AF8F-B3FA6E7D30E4}"/>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45" name="Line 44">
          <a:extLst>
            <a:ext uri="{FF2B5EF4-FFF2-40B4-BE49-F238E27FC236}">
              <a16:creationId xmlns:a16="http://schemas.microsoft.com/office/drawing/2014/main" id="{90998A08-0A49-4EDF-A141-37CE11772CAF}"/>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46" name="Line 45">
          <a:extLst>
            <a:ext uri="{FF2B5EF4-FFF2-40B4-BE49-F238E27FC236}">
              <a16:creationId xmlns:a16="http://schemas.microsoft.com/office/drawing/2014/main" id="{437B63E2-4E26-45AF-ACA5-9ED2BE80C5C4}"/>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47" name="Line 46">
          <a:extLst>
            <a:ext uri="{FF2B5EF4-FFF2-40B4-BE49-F238E27FC236}">
              <a16:creationId xmlns:a16="http://schemas.microsoft.com/office/drawing/2014/main" id="{790F1B42-A07F-44B0-B5D7-AC472CDBD6BD}"/>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48" name="Line 47">
          <a:extLst>
            <a:ext uri="{FF2B5EF4-FFF2-40B4-BE49-F238E27FC236}">
              <a16:creationId xmlns:a16="http://schemas.microsoft.com/office/drawing/2014/main" id="{D375095A-A26F-4DDB-B571-1C640F87D4C7}"/>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0C084B80-4962-452D-A843-E201019D8B26}"/>
            </a:ext>
          </a:extLst>
        </xdr:cNvPr>
        <xdr:cNvSpPr>
          <a:spLocks noChangeShapeType="1"/>
        </xdr:cNvSpPr>
      </xdr:nvSpPr>
      <xdr:spPr bwMode="auto">
        <a:xfrm>
          <a:off x="36576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0" name="Line 50">
          <a:extLst>
            <a:ext uri="{FF2B5EF4-FFF2-40B4-BE49-F238E27FC236}">
              <a16:creationId xmlns:a16="http://schemas.microsoft.com/office/drawing/2014/main" id="{30B330C2-EA0F-4DB7-99A9-BB9EF2BC1A3E}"/>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1" name="Line 51">
          <a:extLst>
            <a:ext uri="{FF2B5EF4-FFF2-40B4-BE49-F238E27FC236}">
              <a16:creationId xmlns:a16="http://schemas.microsoft.com/office/drawing/2014/main" id="{2D109529-99E6-4E9B-9A71-E2A8706EA44A}"/>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2" name="Line 52">
          <a:extLst>
            <a:ext uri="{FF2B5EF4-FFF2-40B4-BE49-F238E27FC236}">
              <a16:creationId xmlns:a16="http://schemas.microsoft.com/office/drawing/2014/main" id="{9E9196DC-273F-4647-950C-60044247892C}"/>
            </a:ext>
          </a:extLst>
        </xdr:cNvPr>
        <xdr:cNvSpPr>
          <a:spLocks noChangeShapeType="1"/>
        </xdr:cNvSpPr>
      </xdr:nvSpPr>
      <xdr:spPr bwMode="auto">
        <a:xfrm flipH="1">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3" name="Line 53">
          <a:extLst>
            <a:ext uri="{FF2B5EF4-FFF2-40B4-BE49-F238E27FC236}">
              <a16:creationId xmlns:a16="http://schemas.microsoft.com/office/drawing/2014/main" id="{8DAA9DC9-82EE-4B6C-B289-78E610E8011A}"/>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4" name="Line 54">
          <a:extLst>
            <a:ext uri="{FF2B5EF4-FFF2-40B4-BE49-F238E27FC236}">
              <a16:creationId xmlns:a16="http://schemas.microsoft.com/office/drawing/2014/main" id="{24331A29-4DDB-40C9-8422-9164AF6ED67E}"/>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5" name="Line 55">
          <a:extLst>
            <a:ext uri="{FF2B5EF4-FFF2-40B4-BE49-F238E27FC236}">
              <a16:creationId xmlns:a16="http://schemas.microsoft.com/office/drawing/2014/main" id="{474C4505-D573-4F07-853A-A5C894703394}"/>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6" name="Line 56">
          <a:extLst>
            <a:ext uri="{FF2B5EF4-FFF2-40B4-BE49-F238E27FC236}">
              <a16:creationId xmlns:a16="http://schemas.microsoft.com/office/drawing/2014/main" id="{EADF3316-0358-45EB-84FA-38D1FC46E3E0}"/>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7" name="Line 57">
          <a:extLst>
            <a:ext uri="{FF2B5EF4-FFF2-40B4-BE49-F238E27FC236}">
              <a16:creationId xmlns:a16="http://schemas.microsoft.com/office/drawing/2014/main" id="{62B42918-1F72-4A54-9DB8-104EF82788E1}"/>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8" name="Line 58">
          <a:extLst>
            <a:ext uri="{FF2B5EF4-FFF2-40B4-BE49-F238E27FC236}">
              <a16:creationId xmlns:a16="http://schemas.microsoft.com/office/drawing/2014/main" id="{C631293F-BCAE-4D35-A673-94AC57CEF0ED}"/>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9" name="Line 59">
          <a:extLst>
            <a:ext uri="{FF2B5EF4-FFF2-40B4-BE49-F238E27FC236}">
              <a16:creationId xmlns:a16="http://schemas.microsoft.com/office/drawing/2014/main" id="{0C11B4FB-8C6B-4F12-8B91-1F812FFA63FE}"/>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60" name="Line 60">
          <a:extLst>
            <a:ext uri="{FF2B5EF4-FFF2-40B4-BE49-F238E27FC236}">
              <a16:creationId xmlns:a16="http://schemas.microsoft.com/office/drawing/2014/main" id="{B4B19314-B445-4AEA-9398-A40145EEF31F}"/>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61" name="Line 61">
          <a:extLst>
            <a:ext uri="{FF2B5EF4-FFF2-40B4-BE49-F238E27FC236}">
              <a16:creationId xmlns:a16="http://schemas.microsoft.com/office/drawing/2014/main" id="{0F7A75C8-A8C7-4001-8EFF-AD188574DAE9}"/>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62" name="Line 62">
          <a:extLst>
            <a:ext uri="{FF2B5EF4-FFF2-40B4-BE49-F238E27FC236}">
              <a16:creationId xmlns:a16="http://schemas.microsoft.com/office/drawing/2014/main" id="{FE1AADCD-1D9C-419C-825B-34B6599815AF}"/>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63" name="Line 63">
          <a:extLst>
            <a:ext uri="{FF2B5EF4-FFF2-40B4-BE49-F238E27FC236}">
              <a16:creationId xmlns:a16="http://schemas.microsoft.com/office/drawing/2014/main" id="{7CEBA7E5-727A-43CF-87A9-44E458D8F06B}"/>
            </a:ext>
          </a:extLst>
        </xdr:cNvPr>
        <xdr:cNvSpPr>
          <a:spLocks noChangeShapeType="1"/>
        </xdr:cNvSpPr>
      </xdr:nvSpPr>
      <xdr:spPr bwMode="auto">
        <a:xfrm>
          <a:off x="806958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64" name="Line 64">
          <a:extLst>
            <a:ext uri="{FF2B5EF4-FFF2-40B4-BE49-F238E27FC236}">
              <a16:creationId xmlns:a16="http://schemas.microsoft.com/office/drawing/2014/main" id="{02D11808-ED7D-456E-B268-9B2E0D807CB5}"/>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65" name="Line 65">
          <a:extLst>
            <a:ext uri="{FF2B5EF4-FFF2-40B4-BE49-F238E27FC236}">
              <a16:creationId xmlns:a16="http://schemas.microsoft.com/office/drawing/2014/main" id="{770FCA61-39CC-4955-B44B-2D8FA610F46D}"/>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15</xdr:col>
      <xdr:colOff>0</xdr:colOff>
      <xdr:row>0</xdr:row>
      <xdr:rowOff>0</xdr:rowOff>
    </xdr:from>
    <xdr:to>
      <xdr:col>15</xdr:col>
      <xdr:colOff>0</xdr:colOff>
      <xdr:row>0</xdr:row>
      <xdr:rowOff>0</xdr:rowOff>
    </xdr:to>
    <xdr:sp macro="" textlink="">
      <xdr:nvSpPr>
        <xdr:cNvPr id="66" name="Line 66">
          <a:extLst>
            <a:ext uri="{FF2B5EF4-FFF2-40B4-BE49-F238E27FC236}">
              <a16:creationId xmlns:a16="http://schemas.microsoft.com/office/drawing/2014/main" id="{11B69566-C9E7-4505-9461-7EDB57304691}"/>
            </a:ext>
          </a:extLst>
        </xdr:cNvPr>
        <xdr:cNvSpPr>
          <a:spLocks noChangeShapeType="1"/>
        </xdr:cNvSpPr>
      </xdr:nvSpPr>
      <xdr:spPr bwMode="auto">
        <a:xfrm>
          <a:off x="756666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67" name="Line 67">
          <a:extLst>
            <a:ext uri="{FF2B5EF4-FFF2-40B4-BE49-F238E27FC236}">
              <a16:creationId xmlns:a16="http://schemas.microsoft.com/office/drawing/2014/main" id="{0906DBB3-1680-48ED-8F6F-14C8822544A7}"/>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68" name="Line 68">
          <a:extLst>
            <a:ext uri="{FF2B5EF4-FFF2-40B4-BE49-F238E27FC236}">
              <a16:creationId xmlns:a16="http://schemas.microsoft.com/office/drawing/2014/main" id="{304E6718-3CA1-4596-B356-AD8687F3E839}"/>
            </a:ext>
          </a:extLst>
        </xdr:cNvPr>
        <xdr:cNvSpPr>
          <a:spLocks noChangeShapeType="1"/>
        </xdr:cNvSpPr>
      </xdr:nvSpPr>
      <xdr:spPr bwMode="auto">
        <a:xfrm>
          <a:off x="7315200" y="0"/>
          <a:ext cx="0" cy="0"/>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13</xdr:col>
      <xdr:colOff>0</xdr:colOff>
      <xdr:row>6</xdr:row>
      <xdr:rowOff>0</xdr:rowOff>
    </xdr:to>
    <xdr:sp macro="" textlink="">
      <xdr:nvSpPr>
        <xdr:cNvPr id="70" name="Line 70">
          <a:extLst>
            <a:ext uri="{FF2B5EF4-FFF2-40B4-BE49-F238E27FC236}">
              <a16:creationId xmlns:a16="http://schemas.microsoft.com/office/drawing/2014/main" id="{242A6FDF-6000-4F66-8521-ACBFCFE9FB0A}"/>
            </a:ext>
          </a:extLst>
        </xdr:cNvPr>
        <xdr:cNvSpPr>
          <a:spLocks noChangeShapeType="1"/>
        </xdr:cNvSpPr>
      </xdr:nvSpPr>
      <xdr:spPr bwMode="auto">
        <a:xfrm>
          <a:off x="123825" y="1729740"/>
          <a:ext cx="71913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13</xdr:col>
      <xdr:colOff>0</xdr:colOff>
      <xdr:row>6</xdr:row>
      <xdr:rowOff>0</xdr:rowOff>
    </xdr:to>
    <xdr:sp macro="" textlink="">
      <xdr:nvSpPr>
        <xdr:cNvPr id="71" name="Line 71">
          <a:extLst>
            <a:ext uri="{FF2B5EF4-FFF2-40B4-BE49-F238E27FC236}">
              <a16:creationId xmlns:a16="http://schemas.microsoft.com/office/drawing/2014/main" id="{3E9E6B4E-4595-4904-AFA3-94A259A8E92A}"/>
            </a:ext>
          </a:extLst>
        </xdr:cNvPr>
        <xdr:cNvSpPr>
          <a:spLocks noChangeShapeType="1"/>
        </xdr:cNvSpPr>
      </xdr:nvSpPr>
      <xdr:spPr bwMode="auto">
        <a:xfrm>
          <a:off x="114300" y="1729740"/>
          <a:ext cx="72009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2" name="Line 72">
          <a:extLst>
            <a:ext uri="{FF2B5EF4-FFF2-40B4-BE49-F238E27FC236}">
              <a16:creationId xmlns:a16="http://schemas.microsoft.com/office/drawing/2014/main" id="{C8923906-9351-4021-B30F-EF85F1705247}"/>
            </a:ext>
          </a:extLst>
        </xdr:cNvPr>
        <xdr:cNvSpPr>
          <a:spLocks noChangeShapeType="1"/>
        </xdr:cNvSpPr>
      </xdr:nvSpPr>
      <xdr:spPr bwMode="auto">
        <a:xfrm flipH="1">
          <a:off x="9525" y="1729740"/>
          <a:ext cx="1143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13</xdr:col>
      <xdr:colOff>0</xdr:colOff>
      <xdr:row>6</xdr:row>
      <xdr:rowOff>0</xdr:rowOff>
    </xdr:to>
    <xdr:sp macro="" textlink="">
      <xdr:nvSpPr>
        <xdr:cNvPr id="74" name="Line 74">
          <a:extLst>
            <a:ext uri="{FF2B5EF4-FFF2-40B4-BE49-F238E27FC236}">
              <a16:creationId xmlns:a16="http://schemas.microsoft.com/office/drawing/2014/main" id="{C4C74521-0290-4C12-A03B-604B1FC42D45}"/>
            </a:ext>
          </a:extLst>
        </xdr:cNvPr>
        <xdr:cNvSpPr>
          <a:spLocks noChangeShapeType="1"/>
        </xdr:cNvSpPr>
      </xdr:nvSpPr>
      <xdr:spPr bwMode="auto">
        <a:xfrm>
          <a:off x="9525" y="1729740"/>
          <a:ext cx="7305675" cy="0"/>
        </a:xfrm>
        <a:prstGeom prst="line">
          <a:avLst/>
        </a:prstGeom>
        <a:noFill/>
        <a:ln w="9525">
          <a:solidFill>
            <a:srgbClr val="000000"/>
          </a:solidFill>
          <a:round/>
          <a:headEnd/>
          <a:tailEnd/>
        </a:ln>
      </xdr:spPr>
    </xdr:sp>
    <xdr:clientData/>
  </xdr:twoCellAnchor>
  <xdr:twoCellAnchor>
    <xdr:from>
      <xdr:col>0</xdr:col>
      <xdr:colOff>9525</xdr:colOff>
      <xdr:row>2</xdr:row>
      <xdr:rowOff>0</xdr:rowOff>
    </xdr:from>
    <xdr:to>
      <xdr:col>0</xdr:col>
      <xdr:colOff>9525</xdr:colOff>
      <xdr:row>23</xdr:row>
      <xdr:rowOff>9525</xdr:rowOff>
    </xdr:to>
    <xdr:sp macro="" textlink="">
      <xdr:nvSpPr>
        <xdr:cNvPr id="75" name="Line 75">
          <a:extLst>
            <a:ext uri="{FF2B5EF4-FFF2-40B4-BE49-F238E27FC236}">
              <a16:creationId xmlns:a16="http://schemas.microsoft.com/office/drawing/2014/main" id="{719F7DA7-5980-47DE-A203-56EE8B57F6BC}"/>
            </a:ext>
          </a:extLst>
        </xdr:cNvPr>
        <xdr:cNvSpPr>
          <a:spLocks noChangeShapeType="1"/>
        </xdr:cNvSpPr>
      </xdr:nvSpPr>
      <xdr:spPr bwMode="auto">
        <a:xfrm>
          <a:off x="9525" y="411480"/>
          <a:ext cx="0" cy="5381625"/>
        </a:xfrm>
        <a:prstGeom prst="line">
          <a:avLst/>
        </a:prstGeom>
        <a:noFill/>
        <a:ln w="9525">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9777904E-DAFC-4A6E-A3FA-C6E5EBC7135B}"/>
            </a:ext>
          </a:extLst>
        </xdr:cNvPr>
        <xdr:cNvSpPr>
          <a:spLocks noChangeShapeType="1"/>
        </xdr:cNvSpPr>
      </xdr:nvSpPr>
      <xdr:spPr bwMode="auto">
        <a:xfrm flipV="1">
          <a:off x="33147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3" name="Line 2">
          <a:extLst>
            <a:ext uri="{FF2B5EF4-FFF2-40B4-BE49-F238E27FC236}">
              <a16:creationId xmlns:a16="http://schemas.microsoft.com/office/drawing/2014/main" id="{D0D10D44-61E0-472E-9AD3-700D14B8CF17}"/>
            </a:ext>
          </a:extLst>
        </xdr:cNvPr>
        <xdr:cNvSpPr>
          <a:spLocks noChangeShapeType="1"/>
        </xdr:cNvSpPr>
      </xdr:nvSpPr>
      <xdr:spPr bwMode="auto">
        <a:xfrm>
          <a:off x="321945" y="0"/>
          <a:ext cx="189547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4" name="Line 3">
          <a:extLst>
            <a:ext uri="{FF2B5EF4-FFF2-40B4-BE49-F238E27FC236}">
              <a16:creationId xmlns:a16="http://schemas.microsoft.com/office/drawing/2014/main" id="{8C68CA51-163F-4839-96B1-BA72477C797A}"/>
            </a:ext>
          </a:extLst>
        </xdr:cNvPr>
        <xdr:cNvSpPr>
          <a:spLocks noChangeShapeType="1"/>
        </xdr:cNvSpPr>
      </xdr:nvSpPr>
      <xdr:spPr bwMode="auto">
        <a:xfrm>
          <a:off x="312420" y="0"/>
          <a:ext cx="19050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 name="Line 4">
          <a:extLst>
            <a:ext uri="{FF2B5EF4-FFF2-40B4-BE49-F238E27FC236}">
              <a16:creationId xmlns:a16="http://schemas.microsoft.com/office/drawing/2014/main" id="{DC0EF518-B356-4DE0-8156-535EEC7AEA76}"/>
            </a:ext>
          </a:extLst>
        </xdr:cNvPr>
        <xdr:cNvSpPr>
          <a:spLocks noChangeShapeType="1"/>
        </xdr:cNvSpPr>
      </xdr:nvSpPr>
      <xdr:spPr bwMode="auto">
        <a:xfrm>
          <a:off x="221742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F8F50E3A-3AFB-4349-8C8A-AA41149A6174}"/>
            </a:ext>
          </a:extLst>
        </xdr:cNvPr>
        <xdr:cNvSpPr>
          <a:spLocks noChangeShapeType="1"/>
        </xdr:cNvSpPr>
      </xdr:nvSpPr>
      <xdr:spPr bwMode="auto">
        <a:xfrm flipH="1">
          <a:off x="9525" y="0"/>
          <a:ext cx="31242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7" name="Line 6">
          <a:extLst>
            <a:ext uri="{FF2B5EF4-FFF2-40B4-BE49-F238E27FC236}">
              <a16:creationId xmlns:a16="http://schemas.microsoft.com/office/drawing/2014/main" id="{FECF446E-D650-4FB9-8150-C03CC0746A93}"/>
            </a:ext>
          </a:extLst>
        </xdr:cNvPr>
        <xdr:cNvSpPr>
          <a:spLocks noChangeShapeType="1"/>
        </xdr:cNvSpPr>
      </xdr:nvSpPr>
      <xdr:spPr bwMode="auto">
        <a:xfrm flipH="1">
          <a:off x="221742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8" name="Line 7">
          <a:extLst>
            <a:ext uri="{FF2B5EF4-FFF2-40B4-BE49-F238E27FC236}">
              <a16:creationId xmlns:a16="http://schemas.microsoft.com/office/drawing/2014/main" id="{7C8C09D3-1FBA-4D24-BF48-3A27FD3C82DC}"/>
            </a:ext>
          </a:extLst>
        </xdr:cNvPr>
        <xdr:cNvSpPr>
          <a:spLocks noChangeShapeType="1"/>
        </xdr:cNvSpPr>
      </xdr:nvSpPr>
      <xdr:spPr bwMode="auto">
        <a:xfrm flipV="1">
          <a:off x="221742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D22BC9C5-F6C7-49A2-A4A9-EA182FE4A637}"/>
            </a:ext>
          </a:extLst>
        </xdr:cNvPr>
        <xdr:cNvSpPr>
          <a:spLocks noChangeShapeType="1"/>
        </xdr:cNvSpPr>
      </xdr:nvSpPr>
      <xdr:spPr bwMode="auto">
        <a:xfrm>
          <a:off x="31242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 name="Line 9">
          <a:extLst>
            <a:ext uri="{FF2B5EF4-FFF2-40B4-BE49-F238E27FC236}">
              <a16:creationId xmlns:a16="http://schemas.microsoft.com/office/drawing/2014/main" id="{579AEDF1-BFB3-4243-B5C5-E9FB4CBB0E48}"/>
            </a:ext>
          </a:extLst>
        </xdr:cNvPr>
        <xdr:cNvSpPr>
          <a:spLocks noChangeShapeType="1"/>
        </xdr:cNvSpPr>
      </xdr:nvSpPr>
      <xdr:spPr bwMode="auto">
        <a:xfrm flipV="1">
          <a:off x="27813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1" name="Line 10">
          <a:extLst>
            <a:ext uri="{FF2B5EF4-FFF2-40B4-BE49-F238E27FC236}">
              <a16:creationId xmlns:a16="http://schemas.microsoft.com/office/drawing/2014/main" id="{76E89A12-B020-4CB5-98A4-93316BB25E7C}"/>
            </a:ext>
          </a:extLst>
        </xdr:cNvPr>
        <xdr:cNvSpPr>
          <a:spLocks noChangeShapeType="1"/>
        </xdr:cNvSpPr>
      </xdr:nvSpPr>
      <xdr:spPr bwMode="auto">
        <a:xfrm>
          <a:off x="0" y="0"/>
          <a:ext cx="2280094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2" name="Line 11">
          <a:extLst>
            <a:ext uri="{FF2B5EF4-FFF2-40B4-BE49-F238E27FC236}">
              <a16:creationId xmlns:a16="http://schemas.microsoft.com/office/drawing/2014/main" id="{F7F1597F-BBE1-4808-AC01-A2641BAE9620}"/>
            </a:ext>
          </a:extLst>
        </xdr:cNvPr>
        <xdr:cNvSpPr>
          <a:spLocks noChangeShapeType="1"/>
        </xdr:cNvSpPr>
      </xdr:nvSpPr>
      <xdr:spPr bwMode="auto">
        <a:xfrm flipH="1">
          <a:off x="19050" y="0"/>
          <a:ext cx="2651379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3" name="Line 12">
          <a:extLst>
            <a:ext uri="{FF2B5EF4-FFF2-40B4-BE49-F238E27FC236}">
              <a16:creationId xmlns:a16="http://schemas.microsoft.com/office/drawing/2014/main" id="{7F2FA16D-9CD7-4E57-8969-83A547DBC7FC}"/>
            </a:ext>
          </a:extLst>
        </xdr:cNvPr>
        <xdr:cNvSpPr>
          <a:spLocks noChangeShapeType="1"/>
        </xdr:cNvSpPr>
      </xdr:nvSpPr>
      <xdr:spPr bwMode="auto">
        <a:xfrm>
          <a:off x="9525" y="0"/>
          <a:ext cx="220789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4" name="Line 13">
          <a:extLst>
            <a:ext uri="{FF2B5EF4-FFF2-40B4-BE49-F238E27FC236}">
              <a16:creationId xmlns:a16="http://schemas.microsoft.com/office/drawing/2014/main" id="{EA438DFC-EA25-4CC2-BEC7-78993C794EE2}"/>
            </a:ext>
          </a:extLst>
        </xdr:cNvPr>
        <xdr:cNvSpPr>
          <a:spLocks noChangeShapeType="1"/>
        </xdr:cNvSpPr>
      </xdr:nvSpPr>
      <xdr:spPr bwMode="auto">
        <a:xfrm flipH="1" flipV="1">
          <a:off x="27813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1E6DD090-F4EA-492E-AE1A-C6D0F4576364}"/>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6" name="Line 15">
          <a:extLst>
            <a:ext uri="{FF2B5EF4-FFF2-40B4-BE49-F238E27FC236}">
              <a16:creationId xmlns:a16="http://schemas.microsoft.com/office/drawing/2014/main" id="{1630E745-D51D-49F3-8A51-BEC80A30417A}"/>
            </a:ext>
          </a:extLst>
        </xdr:cNvPr>
        <xdr:cNvSpPr>
          <a:spLocks noChangeShapeType="1"/>
        </xdr:cNvSpPr>
      </xdr:nvSpPr>
      <xdr:spPr bwMode="auto">
        <a:xfrm>
          <a:off x="0" y="0"/>
          <a:ext cx="2653284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7" name="Line 16">
          <a:extLst>
            <a:ext uri="{FF2B5EF4-FFF2-40B4-BE49-F238E27FC236}">
              <a16:creationId xmlns:a16="http://schemas.microsoft.com/office/drawing/2014/main" id="{491D4A72-FD53-4534-9885-0FEAC51E3828}"/>
            </a:ext>
          </a:extLst>
        </xdr:cNvPr>
        <xdr:cNvSpPr>
          <a:spLocks noChangeShapeType="1"/>
        </xdr:cNvSpPr>
      </xdr:nvSpPr>
      <xdr:spPr bwMode="auto">
        <a:xfrm flipH="1" flipV="1">
          <a:off x="2653284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8" name="Line 17">
          <a:extLst>
            <a:ext uri="{FF2B5EF4-FFF2-40B4-BE49-F238E27FC236}">
              <a16:creationId xmlns:a16="http://schemas.microsoft.com/office/drawing/2014/main" id="{35F11D12-425E-419C-A101-F82BAAB54F3F}"/>
            </a:ext>
          </a:extLst>
        </xdr:cNvPr>
        <xdr:cNvSpPr>
          <a:spLocks noChangeShapeType="1"/>
        </xdr:cNvSpPr>
      </xdr:nvSpPr>
      <xdr:spPr bwMode="auto">
        <a:xfrm flipH="1" flipV="1">
          <a:off x="0" y="0"/>
          <a:ext cx="258381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C15C68D0-902D-4AD5-91BB-9CB6AA75892D}"/>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20" name="Line 19">
          <a:extLst>
            <a:ext uri="{FF2B5EF4-FFF2-40B4-BE49-F238E27FC236}">
              <a16:creationId xmlns:a16="http://schemas.microsoft.com/office/drawing/2014/main" id="{6D757394-C3C5-4D43-8D05-57DE63A12E74}"/>
            </a:ext>
          </a:extLst>
        </xdr:cNvPr>
        <xdr:cNvSpPr>
          <a:spLocks noChangeShapeType="1"/>
        </xdr:cNvSpPr>
      </xdr:nvSpPr>
      <xdr:spPr bwMode="auto">
        <a:xfrm>
          <a:off x="2236470" y="0"/>
          <a:ext cx="2089404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26</xdr:col>
      <xdr:colOff>0</xdr:colOff>
      <xdr:row>0</xdr:row>
      <xdr:rowOff>0</xdr:rowOff>
    </xdr:to>
    <xdr:sp macro="" textlink="">
      <xdr:nvSpPr>
        <xdr:cNvPr id="21" name="Line 20">
          <a:extLst>
            <a:ext uri="{FF2B5EF4-FFF2-40B4-BE49-F238E27FC236}">
              <a16:creationId xmlns:a16="http://schemas.microsoft.com/office/drawing/2014/main" id="{D412C9F1-3B03-45C4-844A-120F4187F010}"/>
            </a:ext>
          </a:extLst>
        </xdr:cNvPr>
        <xdr:cNvSpPr>
          <a:spLocks noChangeShapeType="1"/>
        </xdr:cNvSpPr>
      </xdr:nvSpPr>
      <xdr:spPr bwMode="auto">
        <a:xfrm>
          <a:off x="2217420" y="0"/>
          <a:ext cx="2357628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22" name="Line 21">
          <a:extLst>
            <a:ext uri="{FF2B5EF4-FFF2-40B4-BE49-F238E27FC236}">
              <a16:creationId xmlns:a16="http://schemas.microsoft.com/office/drawing/2014/main" id="{835AADF1-4107-45E6-B99F-D7BD3D5900B8}"/>
            </a:ext>
          </a:extLst>
        </xdr:cNvPr>
        <xdr:cNvSpPr>
          <a:spLocks noChangeShapeType="1"/>
        </xdr:cNvSpPr>
      </xdr:nvSpPr>
      <xdr:spPr bwMode="auto">
        <a:xfrm>
          <a:off x="19050" y="0"/>
          <a:ext cx="24907875"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23" name="Line 22">
          <a:extLst>
            <a:ext uri="{FF2B5EF4-FFF2-40B4-BE49-F238E27FC236}">
              <a16:creationId xmlns:a16="http://schemas.microsoft.com/office/drawing/2014/main" id="{48EFF9FB-1843-4C3D-9221-AD3E80446875}"/>
            </a:ext>
          </a:extLst>
        </xdr:cNvPr>
        <xdr:cNvSpPr>
          <a:spLocks noChangeShapeType="1"/>
        </xdr:cNvSpPr>
      </xdr:nvSpPr>
      <xdr:spPr bwMode="auto">
        <a:xfrm>
          <a:off x="25146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24" name="Line 23">
          <a:extLst>
            <a:ext uri="{FF2B5EF4-FFF2-40B4-BE49-F238E27FC236}">
              <a16:creationId xmlns:a16="http://schemas.microsoft.com/office/drawing/2014/main" id="{570401AA-280B-4F5A-8B58-3F5448A804D1}"/>
            </a:ext>
          </a:extLst>
        </xdr:cNvPr>
        <xdr:cNvSpPr>
          <a:spLocks noChangeShapeType="1"/>
        </xdr:cNvSpPr>
      </xdr:nvSpPr>
      <xdr:spPr bwMode="auto">
        <a:xfrm flipV="1">
          <a:off x="278130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5" name="Line 24">
          <a:extLst>
            <a:ext uri="{FF2B5EF4-FFF2-40B4-BE49-F238E27FC236}">
              <a16:creationId xmlns:a16="http://schemas.microsoft.com/office/drawing/2014/main" id="{6A2AAAEA-5722-4C30-9036-45A64678B95F}"/>
            </a:ext>
          </a:extLst>
        </xdr:cNvPr>
        <xdr:cNvSpPr>
          <a:spLocks noChangeShapeType="1"/>
        </xdr:cNvSpPr>
      </xdr:nvSpPr>
      <xdr:spPr bwMode="auto">
        <a:xfrm>
          <a:off x="221742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26" name="Line 25">
          <a:extLst>
            <a:ext uri="{FF2B5EF4-FFF2-40B4-BE49-F238E27FC236}">
              <a16:creationId xmlns:a16="http://schemas.microsoft.com/office/drawing/2014/main" id="{BD524A1E-6FD7-4BAF-8A97-597F360EEAEB}"/>
            </a:ext>
          </a:extLst>
        </xdr:cNvPr>
        <xdr:cNvSpPr>
          <a:spLocks noChangeShapeType="1"/>
        </xdr:cNvSpPr>
      </xdr:nvSpPr>
      <xdr:spPr bwMode="auto">
        <a:xfrm>
          <a:off x="22877145"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27" name="Line 26">
          <a:extLst>
            <a:ext uri="{FF2B5EF4-FFF2-40B4-BE49-F238E27FC236}">
              <a16:creationId xmlns:a16="http://schemas.microsoft.com/office/drawing/2014/main" id="{C579F6E5-E244-4307-96FB-C0702C008625}"/>
            </a:ext>
          </a:extLst>
        </xdr:cNvPr>
        <xdr:cNvSpPr>
          <a:spLocks noChangeShapeType="1"/>
        </xdr:cNvSpPr>
      </xdr:nvSpPr>
      <xdr:spPr bwMode="auto">
        <a:xfrm>
          <a:off x="22705695" y="0"/>
          <a:ext cx="3097530"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28" name="Line 27">
          <a:extLst>
            <a:ext uri="{FF2B5EF4-FFF2-40B4-BE49-F238E27FC236}">
              <a16:creationId xmlns:a16="http://schemas.microsoft.com/office/drawing/2014/main" id="{65FB94AB-B8B1-433B-ABCB-C3EFD790F302}"/>
            </a:ext>
          </a:extLst>
        </xdr:cNvPr>
        <xdr:cNvSpPr>
          <a:spLocks noChangeShapeType="1"/>
        </xdr:cNvSpPr>
      </xdr:nvSpPr>
      <xdr:spPr bwMode="auto">
        <a:xfrm>
          <a:off x="20440650" y="0"/>
          <a:ext cx="268986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29" name="Line 28">
          <a:extLst>
            <a:ext uri="{FF2B5EF4-FFF2-40B4-BE49-F238E27FC236}">
              <a16:creationId xmlns:a16="http://schemas.microsoft.com/office/drawing/2014/main" id="{9D1FD695-43AD-4F2D-834F-101F2781193C}"/>
            </a:ext>
          </a:extLst>
        </xdr:cNvPr>
        <xdr:cNvSpPr>
          <a:spLocks noChangeShapeType="1"/>
        </xdr:cNvSpPr>
      </xdr:nvSpPr>
      <xdr:spPr bwMode="auto">
        <a:xfrm>
          <a:off x="20162520"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30" name="Line 29">
          <a:extLst>
            <a:ext uri="{FF2B5EF4-FFF2-40B4-BE49-F238E27FC236}">
              <a16:creationId xmlns:a16="http://schemas.microsoft.com/office/drawing/2014/main" id="{279E5D1E-C2CB-4A10-A995-D8A23BE21676}"/>
            </a:ext>
          </a:extLst>
        </xdr:cNvPr>
        <xdr:cNvSpPr>
          <a:spLocks noChangeShapeType="1"/>
        </xdr:cNvSpPr>
      </xdr:nvSpPr>
      <xdr:spPr bwMode="auto">
        <a:xfrm>
          <a:off x="20690205"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31" name="Line 30">
          <a:extLst>
            <a:ext uri="{FF2B5EF4-FFF2-40B4-BE49-F238E27FC236}">
              <a16:creationId xmlns:a16="http://schemas.microsoft.com/office/drawing/2014/main" id="{B7D85DA0-BC2B-4B6B-BC61-AD8943FD9C7A}"/>
            </a:ext>
          </a:extLst>
        </xdr:cNvPr>
        <xdr:cNvSpPr>
          <a:spLocks noChangeShapeType="1"/>
        </xdr:cNvSpPr>
      </xdr:nvSpPr>
      <xdr:spPr bwMode="auto">
        <a:xfrm>
          <a:off x="24917400" y="0"/>
          <a:ext cx="161544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32" name="Line 31">
          <a:extLst>
            <a:ext uri="{FF2B5EF4-FFF2-40B4-BE49-F238E27FC236}">
              <a16:creationId xmlns:a16="http://schemas.microsoft.com/office/drawing/2014/main" id="{AAE4E2B6-5316-443F-A1C7-50C561383A26}"/>
            </a:ext>
          </a:extLst>
        </xdr:cNvPr>
        <xdr:cNvSpPr>
          <a:spLocks noChangeShapeType="1"/>
        </xdr:cNvSpPr>
      </xdr:nvSpPr>
      <xdr:spPr bwMode="auto">
        <a:xfrm>
          <a:off x="2263902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3" name="Line 32">
          <a:extLst>
            <a:ext uri="{FF2B5EF4-FFF2-40B4-BE49-F238E27FC236}">
              <a16:creationId xmlns:a16="http://schemas.microsoft.com/office/drawing/2014/main" id="{9F2FC802-EF12-414F-911E-6FFA777EC00E}"/>
            </a:ext>
          </a:extLst>
        </xdr:cNvPr>
        <xdr:cNvSpPr>
          <a:spLocks noChangeShapeType="1"/>
        </xdr:cNvSpPr>
      </xdr:nvSpPr>
      <xdr:spPr bwMode="auto">
        <a:xfrm>
          <a:off x="22639020" y="0"/>
          <a:ext cx="389382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4" name="Line 33">
          <a:extLst>
            <a:ext uri="{FF2B5EF4-FFF2-40B4-BE49-F238E27FC236}">
              <a16:creationId xmlns:a16="http://schemas.microsoft.com/office/drawing/2014/main" id="{12A06644-246D-41A8-9A48-F550A7225973}"/>
            </a:ext>
          </a:extLst>
        </xdr:cNvPr>
        <xdr:cNvSpPr>
          <a:spLocks noChangeShapeType="1"/>
        </xdr:cNvSpPr>
      </xdr:nvSpPr>
      <xdr:spPr bwMode="auto">
        <a:xfrm>
          <a:off x="22639020" y="0"/>
          <a:ext cx="389382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5" name="Line 34">
          <a:extLst>
            <a:ext uri="{FF2B5EF4-FFF2-40B4-BE49-F238E27FC236}">
              <a16:creationId xmlns:a16="http://schemas.microsoft.com/office/drawing/2014/main" id="{27B898EF-1995-4370-A52F-E85C486B3D0A}"/>
            </a:ext>
          </a:extLst>
        </xdr:cNvPr>
        <xdr:cNvSpPr>
          <a:spLocks noChangeShapeType="1"/>
        </xdr:cNvSpPr>
      </xdr:nvSpPr>
      <xdr:spPr bwMode="auto">
        <a:xfrm>
          <a:off x="22639020" y="0"/>
          <a:ext cx="389382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6" name="Line 35">
          <a:extLst>
            <a:ext uri="{FF2B5EF4-FFF2-40B4-BE49-F238E27FC236}">
              <a16:creationId xmlns:a16="http://schemas.microsoft.com/office/drawing/2014/main" id="{C7B3C097-8574-4332-99F7-FF92999F0F0D}"/>
            </a:ext>
          </a:extLst>
        </xdr:cNvPr>
        <xdr:cNvSpPr>
          <a:spLocks noChangeShapeType="1"/>
        </xdr:cNvSpPr>
      </xdr:nvSpPr>
      <xdr:spPr bwMode="auto">
        <a:xfrm>
          <a:off x="22639020" y="0"/>
          <a:ext cx="3893820"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37" name="Line 36">
          <a:extLst>
            <a:ext uri="{FF2B5EF4-FFF2-40B4-BE49-F238E27FC236}">
              <a16:creationId xmlns:a16="http://schemas.microsoft.com/office/drawing/2014/main" id="{C011CD9A-A5B0-423F-B619-06CEBC20A72F}"/>
            </a:ext>
          </a:extLst>
        </xdr:cNvPr>
        <xdr:cNvSpPr>
          <a:spLocks noChangeShapeType="1"/>
        </xdr:cNvSpPr>
      </xdr:nvSpPr>
      <xdr:spPr bwMode="auto">
        <a:xfrm>
          <a:off x="22648545" y="0"/>
          <a:ext cx="3884295"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38" name="Line 37">
          <a:extLst>
            <a:ext uri="{FF2B5EF4-FFF2-40B4-BE49-F238E27FC236}">
              <a16:creationId xmlns:a16="http://schemas.microsoft.com/office/drawing/2014/main" id="{31EA9A9B-F963-428F-A91E-F72FC7CA9BEB}"/>
            </a:ext>
          </a:extLst>
        </xdr:cNvPr>
        <xdr:cNvSpPr>
          <a:spLocks noChangeShapeType="1"/>
        </xdr:cNvSpPr>
      </xdr:nvSpPr>
      <xdr:spPr bwMode="auto">
        <a:xfrm>
          <a:off x="2363914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39" name="Line 38">
          <a:extLst>
            <a:ext uri="{FF2B5EF4-FFF2-40B4-BE49-F238E27FC236}">
              <a16:creationId xmlns:a16="http://schemas.microsoft.com/office/drawing/2014/main" id="{17B0D737-C540-4F6F-A259-7A9E0DA9D1C4}"/>
            </a:ext>
          </a:extLst>
        </xdr:cNvPr>
        <xdr:cNvSpPr>
          <a:spLocks noChangeShapeType="1"/>
        </xdr:cNvSpPr>
      </xdr:nvSpPr>
      <xdr:spPr bwMode="auto">
        <a:xfrm flipH="1">
          <a:off x="25317450"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0" name="Line 39">
          <a:extLst>
            <a:ext uri="{FF2B5EF4-FFF2-40B4-BE49-F238E27FC236}">
              <a16:creationId xmlns:a16="http://schemas.microsoft.com/office/drawing/2014/main" id="{4812CBB1-F8E8-4487-95C8-C03E6A448C1D}"/>
            </a:ext>
          </a:extLst>
        </xdr:cNvPr>
        <xdr:cNvSpPr>
          <a:spLocks noChangeShapeType="1"/>
        </xdr:cNvSpPr>
      </xdr:nvSpPr>
      <xdr:spPr bwMode="auto">
        <a:xfrm flipV="1">
          <a:off x="2531745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1" name="Line 40">
          <a:extLst>
            <a:ext uri="{FF2B5EF4-FFF2-40B4-BE49-F238E27FC236}">
              <a16:creationId xmlns:a16="http://schemas.microsoft.com/office/drawing/2014/main" id="{B425A68E-AB26-4C99-A752-46B3C6438495}"/>
            </a:ext>
          </a:extLst>
        </xdr:cNvPr>
        <xdr:cNvSpPr>
          <a:spLocks noChangeShapeType="1"/>
        </xdr:cNvSpPr>
      </xdr:nvSpPr>
      <xdr:spPr bwMode="auto">
        <a:xfrm>
          <a:off x="25317450"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42" name="Line 41">
          <a:extLst>
            <a:ext uri="{FF2B5EF4-FFF2-40B4-BE49-F238E27FC236}">
              <a16:creationId xmlns:a16="http://schemas.microsoft.com/office/drawing/2014/main" id="{3F88ACEB-E43D-408B-947F-4F1996467A39}"/>
            </a:ext>
          </a:extLst>
        </xdr:cNvPr>
        <xdr:cNvSpPr>
          <a:spLocks noChangeShapeType="1"/>
        </xdr:cNvSpPr>
      </xdr:nvSpPr>
      <xdr:spPr bwMode="auto">
        <a:xfrm>
          <a:off x="24185880"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43" name="Line 42">
          <a:extLst>
            <a:ext uri="{FF2B5EF4-FFF2-40B4-BE49-F238E27FC236}">
              <a16:creationId xmlns:a16="http://schemas.microsoft.com/office/drawing/2014/main" id="{7FA5A5FD-ECE2-4A39-AF7B-FBA61DF69B54}"/>
            </a:ext>
          </a:extLst>
        </xdr:cNvPr>
        <xdr:cNvSpPr>
          <a:spLocks noChangeShapeType="1"/>
        </xdr:cNvSpPr>
      </xdr:nvSpPr>
      <xdr:spPr bwMode="auto">
        <a:xfrm>
          <a:off x="25765125"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44" name="Line 43">
          <a:extLst>
            <a:ext uri="{FF2B5EF4-FFF2-40B4-BE49-F238E27FC236}">
              <a16:creationId xmlns:a16="http://schemas.microsoft.com/office/drawing/2014/main" id="{31AC0A13-37A2-4E63-9F6A-F4A3AB2AA16D}"/>
            </a:ext>
          </a:extLst>
        </xdr:cNvPr>
        <xdr:cNvSpPr>
          <a:spLocks noChangeShapeType="1"/>
        </xdr:cNvSpPr>
      </xdr:nvSpPr>
      <xdr:spPr bwMode="auto">
        <a:xfrm>
          <a:off x="11694795" y="0"/>
          <a:ext cx="1183005"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45" name="Line 44">
          <a:extLst>
            <a:ext uri="{FF2B5EF4-FFF2-40B4-BE49-F238E27FC236}">
              <a16:creationId xmlns:a16="http://schemas.microsoft.com/office/drawing/2014/main" id="{64AC8137-BF99-4BF2-AEDD-2449E79994F6}"/>
            </a:ext>
          </a:extLst>
        </xdr:cNvPr>
        <xdr:cNvSpPr>
          <a:spLocks noChangeShapeType="1"/>
        </xdr:cNvSpPr>
      </xdr:nvSpPr>
      <xdr:spPr bwMode="auto">
        <a:xfrm>
          <a:off x="2016252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46" name="Line 45">
          <a:extLst>
            <a:ext uri="{FF2B5EF4-FFF2-40B4-BE49-F238E27FC236}">
              <a16:creationId xmlns:a16="http://schemas.microsoft.com/office/drawing/2014/main" id="{940D5039-A696-42EF-A633-8BCF5FCBA961}"/>
            </a:ext>
          </a:extLst>
        </xdr:cNvPr>
        <xdr:cNvSpPr>
          <a:spLocks noChangeShapeType="1"/>
        </xdr:cNvSpPr>
      </xdr:nvSpPr>
      <xdr:spPr bwMode="auto">
        <a:xfrm>
          <a:off x="20162520" y="0"/>
          <a:ext cx="25908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47" name="Line 46">
          <a:extLst>
            <a:ext uri="{FF2B5EF4-FFF2-40B4-BE49-F238E27FC236}">
              <a16:creationId xmlns:a16="http://schemas.microsoft.com/office/drawing/2014/main" id="{6CD70639-407E-4D3D-84C6-2A0AD52D728B}"/>
            </a:ext>
          </a:extLst>
        </xdr:cNvPr>
        <xdr:cNvSpPr>
          <a:spLocks noChangeShapeType="1"/>
        </xdr:cNvSpPr>
      </xdr:nvSpPr>
      <xdr:spPr bwMode="auto">
        <a:xfrm>
          <a:off x="11694795" y="0"/>
          <a:ext cx="8562975"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48" name="Line 47">
          <a:extLst>
            <a:ext uri="{FF2B5EF4-FFF2-40B4-BE49-F238E27FC236}">
              <a16:creationId xmlns:a16="http://schemas.microsoft.com/office/drawing/2014/main" id="{BA4D77BF-29B4-4DDE-8F24-CA7975BA705A}"/>
            </a:ext>
          </a:extLst>
        </xdr:cNvPr>
        <xdr:cNvSpPr>
          <a:spLocks noChangeShapeType="1"/>
        </xdr:cNvSpPr>
      </xdr:nvSpPr>
      <xdr:spPr bwMode="auto">
        <a:xfrm>
          <a:off x="20191095" y="0"/>
          <a:ext cx="89154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43990F55-9EAD-44CE-8828-9F471E0F31BB}"/>
            </a:ext>
          </a:extLst>
        </xdr:cNvPr>
        <xdr:cNvSpPr>
          <a:spLocks noChangeShapeType="1"/>
        </xdr:cNvSpPr>
      </xdr:nvSpPr>
      <xdr:spPr bwMode="auto">
        <a:xfrm>
          <a:off x="63246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50" name="Line 50">
          <a:extLst>
            <a:ext uri="{FF2B5EF4-FFF2-40B4-BE49-F238E27FC236}">
              <a16:creationId xmlns:a16="http://schemas.microsoft.com/office/drawing/2014/main" id="{A549A5D9-3D0D-4559-A58F-571E5C56B995}"/>
            </a:ext>
          </a:extLst>
        </xdr:cNvPr>
        <xdr:cNvSpPr>
          <a:spLocks noChangeShapeType="1"/>
        </xdr:cNvSpPr>
      </xdr:nvSpPr>
      <xdr:spPr bwMode="auto">
        <a:xfrm>
          <a:off x="25146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51" name="Line 51">
          <a:extLst>
            <a:ext uri="{FF2B5EF4-FFF2-40B4-BE49-F238E27FC236}">
              <a16:creationId xmlns:a16="http://schemas.microsoft.com/office/drawing/2014/main" id="{1529E9D2-E154-4F05-A4E4-BFFA05CAB173}"/>
            </a:ext>
          </a:extLst>
        </xdr:cNvPr>
        <xdr:cNvSpPr>
          <a:spLocks noChangeShapeType="1"/>
        </xdr:cNvSpPr>
      </xdr:nvSpPr>
      <xdr:spPr bwMode="auto">
        <a:xfrm>
          <a:off x="2781300" y="0"/>
          <a:ext cx="1605534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52" name="Line 52">
          <a:extLst>
            <a:ext uri="{FF2B5EF4-FFF2-40B4-BE49-F238E27FC236}">
              <a16:creationId xmlns:a16="http://schemas.microsoft.com/office/drawing/2014/main" id="{2F1A7254-3367-4878-9FF0-D951BFAB1728}"/>
            </a:ext>
          </a:extLst>
        </xdr:cNvPr>
        <xdr:cNvSpPr>
          <a:spLocks noChangeShapeType="1"/>
        </xdr:cNvSpPr>
      </xdr:nvSpPr>
      <xdr:spPr bwMode="auto">
        <a:xfrm flipH="1">
          <a:off x="9298305"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53" name="Line 53">
          <a:extLst>
            <a:ext uri="{FF2B5EF4-FFF2-40B4-BE49-F238E27FC236}">
              <a16:creationId xmlns:a16="http://schemas.microsoft.com/office/drawing/2014/main" id="{C5961DD4-F0CE-4D4D-AE38-AE9752208A83}"/>
            </a:ext>
          </a:extLst>
        </xdr:cNvPr>
        <xdr:cNvSpPr>
          <a:spLocks noChangeShapeType="1"/>
        </xdr:cNvSpPr>
      </xdr:nvSpPr>
      <xdr:spPr bwMode="auto">
        <a:xfrm>
          <a:off x="12877800"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54" name="Line 54">
          <a:extLst>
            <a:ext uri="{FF2B5EF4-FFF2-40B4-BE49-F238E27FC236}">
              <a16:creationId xmlns:a16="http://schemas.microsoft.com/office/drawing/2014/main" id="{027AA392-9317-46C4-835F-BF89F2367921}"/>
            </a:ext>
          </a:extLst>
        </xdr:cNvPr>
        <xdr:cNvSpPr>
          <a:spLocks noChangeShapeType="1"/>
        </xdr:cNvSpPr>
      </xdr:nvSpPr>
      <xdr:spPr bwMode="auto">
        <a:xfrm>
          <a:off x="9317355" y="0"/>
          <a:ext cx="356044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55" name="Line 55">
          <a:extLst>
            <a:ext uri="{FF2B5EF4-FFF2-40B4-BE49-F238E27FC236}">
              <a16:creationId xmlns:a16="http://schemas.microsoft.com/office/drawing/2014/main" id="{7A93B29C-9F20-4933-8851-CCBB7F32FB36}"/>
            </a:ext>
          </a:extLst>
        </xdr:cNvPr>
        <xdr:cNvSpPr>
          <a:spLocks noChangeShapeType="1"/>
        </xdr:cNvSpPr>
      </xdr:nvSpPr>
      <xdr:spPr bwMode="auto">
        <a:xfrm>
          <a:off x="1113282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6" name="Line 56">
          <a:extLst>
            <a:ext uri="{FF2B5EF4-FFF2-40B4-BE49-F238E27FC236}">
              <a16:creationId xmlns:a16="http://schemas.microsoft.com/office/drawing/2014/main" id="{FB092F4A-D590-4494-86F7-463D39F4D1FC}"/>
            </a:ext>
          </a:extLst>
        </xdr:cNvPr>
        <xdr:cNvSpPr>
          <a:spLocks noChangeShapeType="1"/>
        </xdr:cNvSpPr>
      </xdr:nvSpPr>
      <xdr:spPr bwMode="auto">
        <a:xfrm>
          <a:off x="1786128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57" name="Line 57">
          <a:extLst>
            <a:ext uri="{FF2B5EF4-FFF2-40B4-BE49-F238E27FC236}">
              <a16:creationId xmlns:a16="http://schemas.microsoft.com/office/drawing/2014/main" id="{65AEBDBD-5F62-44FE-B4D4-420C3D4615B3}"/>
            </a:ext>
          </a:extLst>
        </xdr:cNvPr>
        <xdr:cNvSpPr>
          <a:spLocks noChangeShapeType="1"/>
        </xdr:cNvSpPr>
      </xdr:nvSpPr>
      <xdr:spPr bwMode="auto">
        <a:xfrm>
          <a:off x="204216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58" name="Line 58">
          <a:extLst>
            <a:ext uri="{FF2B5EF4-FFF2-40B4-BE49-F238E27FC236}">
              <a16:creationId xmlns:a16="http://schemas.microsoft.com/office/drawing/2014/main" id="{0DEB558C-EBC7-45F5-AEAB-E06EBCACC98D}"/>
            </a:ext>
          </a:extLst>
        </xdr:cNvPr>
        <xdr:cNvSpPr>
          <a:spLocks noChangeShapeType="1"/>
        </xdr:cNvSpPr>
      </xdr:nvSpPr>
      <xdr:spPr bwMode="auto">
        <a:xfrm>
          <a:off x="2093976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59" name="Line 59">
          <a:extLst>
            <a:ext uri="{FF2B5EF4-FFF2-40B4-BE49-F238E27FC236}">
              <a16:creationId xmlns:a16="http://schemas.microsoft.com/office/drawing/2014/main" id="{2915F81E-8BC9-41AC-B6CD-B6647E443C24}"/>
            </a:ext>
          </a:extLst>
        </xdr:cNvPr>
        <xdr:cNvSpPr>
          <a:spLocks noChangeShapeType="1"/>
        </xdr:cNvSpPr>
      </xdr:nvSpPr>
      <xdr:spPr bwMode="auto">
        <a:xfrm>
          <a:off x="21183600"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60" name="Line 60">
          <a:extLst>
            <a:ext uri="{FF2B5EF4-FFF2-40B4-BE49-F238E27FC236}">
              <a16:creationId xmlns:a16="http://schemas.microsoft.com/office/drawing/2014/main" id="{3C1A24CB-847F-491F-9C15-15B9D900B345}"/>
            </a:ext>
          </a:extLst>
        </xdr:cNvPr>
        <xdr:cNvSpPr>
          <a:spLocks noChangeShapeType="1"/>
        </xdr:cNvSpPr>
      </xdr:nvSpPr>
      <xdr:spPr bwMode="auto">
        <a:xfrm>
          <a:off x="688848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1" name="Line 61">
          <a:extLst>
            <a:ext uri="{FF2B5EF4-FFF2-40B4-BE49-F238E27FC236}">
              <a16:creationId xmlns:a16="http://schemas.microsoft.com/office/drawing/2014/main" id="{26F84FF4-9A1A-455E-ACF3-B38B272F98A3}"/>
            </a:ext>
          </a:extLst>
        </xdr:cNvPr>
        <xdr:cNvSpPr>
          <a:spLocks noChangeShapeType="1"/>
        </xdr:cNvSpPr>
      </xdr:nvSpPr>
      <xdr:spPr bwMode="auto">
        <a:xfrm>
          <a:off x="20162520"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62" name="Line 62">
          <a:extLst>
            <a:ext uri="{FF2B5EF4-FFF2-40B4-BE49-F238E27FC236}">
              <a16:creationId xmlns:a16="http://schemas.microsoft.com/office/drawing/2014/main" id="{8C26FEFE-D721-4612-872B-4D8B3970680C}"/>
            </a:ext>
          </a:extLst>
        </xdr:cNvPr>
        <xdr:cNvSpPr>
          <a:spLocks noChangeShapeType="1"/>
        </xdr:cNvSpPr>
      </xdr:nvSpPr>
      <xdr:spPr bwMode="auto">
        <a:xfrm>
          <a:off x="20400645"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63" name="Line 63">
          <a:extLst>
            <a:ext uri="{FF2B5EF4-FFF2-40B4-BE49-F238E27FC236}">
              <a16:creationId xmlns:a16="http://schemas.microsoft.com/office/drawing/2014/main" id="{96CFAAD3-9250-4C72-9697-1E793792F51B}"/>
            </a:ext>
          </a:extLst>
        </xdr:cNvPr>
        <xdr:cNvSpPr>
          <a:spLocks noChangeShapeType="1"/>
        </xdr:cNvSpPr>
      </xdr:nvSpPr>
      <xdr:spPr bwMode="auto">
        <a:xfrm>
          <a:off x="2362962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64" name="Line 64">
          <a:extLst>
            <a:ext uri="{FF2B5EF4-FFF2-40B4-BE49-F238E27FC236}">
              <a16:creationId xmlns:a16="http://schemas.microsoft.com/office/drawing/2014/main" id="{9C8A5645-CF91-4A5C-8DF9-E4540F68BCF2}"/>
            </a:ext>
          </a:extLst>
        </xdr:cNvPr>
        <xdr:cNvSpPr>
          <a:spLocks noChangeShapeType="1"/>
        </xdr:cNvSpPr>
      </xdr:nvSpPr>
      <xdr:spPr bwMode="auto">
        <a:xfrm>
          <a:off x="2093976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65" name="Line 65">
          <a:extLst>
            <a:ext uri="{FF2B5EF4-FFF2-40B4-BE49-F238E27FC236}">
              <a16:creationId xmlns:a16="http://schemas.microsoft.com/office/drawing/2014/main" id="{FD9AB858-3D12-4FD7-AAE6-15816C8A53C0}"/>
            </a:ext>
          </a:extLst>
        </xdr:cNvPr>
        <xdr:cNvSpPr>
          <a:spLocks noChangeShapeType="1"/>
        </xdr:cNvSpPr>
      </xdr:nvSpPr>
      <xdr:spPr bwMode="auto">
        <a:xfrm>
          <a:off x="2118360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66" name="Line 66">
          <a:extLst>
            <a:ext uri="{FF2B5EF4-FFF2-40B4-BE49-F238E27FC236}">
              <a16:creationId xmlns:a16="http://schemas.microsoft.com/office/drawing/2014/main" id="{B975280F-0770-4548-BF23-C4CD787216E3}"/>
            </a:ext>
          </a:extLst>
        </xdr:cNvPr>
        <xdr:cNvSpPr>
          <a:spLocks noChangeShapeType="1"/>
        </xdr:cNvSpPr>
      </xdr:nvSpPr>
      <xdr:spPr bwMode="auto">
        <a:xfrm>
          <a:off x="2263902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7" name="Line 67">
          <a:extLst>
            <a:ext uri="{FF2B5EF4-FFF2-40B4-BE49-F238E27FC236}">
              <a16:creationId xmlns:a16="http://schemas.microsoft.com/office/drawing/2014/main" id="{120972D7-343A-4847-9EF2-1D6263921A63}"/>
            </a:ext>
          </a:extLst>
        </xdr:cNvPr>
        <xdr:cNvSpPr>
          <a:spLocks noChangeShapeType="1"/>
        </xdr:cNvSpPr>
      </xdr:nvSpPr>
      <xdr:spPr bwMode="auto">
        <a:xfrm>
          <a:off x="2016252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8" name="Line 68">
          <a:extLst>
            <a:ext uri="{FF2B5EF4-FFF2-40B4-BE49-F238E27FC236}">
              <a16:creationId xmlns:a16="http://schemas.microsoft.com/office/drawing/2014/main" id="{219A58D3-4100-4372-AA09-CE8BA7C2B946}"/>
            </a:ext>
          </a:extLst>
        </xdr:cNvPr>
        <xdr:cNvSpPr>
          <a:spLocks noChangeShapeType="1"/>
        </xdr:cNvSpPr>
      </xdr:nvSpPr>
      <xdr:spPr bwMode="auto">
        <a:xfrm>
          <a:off x="20162520" y="0"/>
          <a:ext cx="0" cy="0"/>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69" name="Line 70">
          <a:extLst>
            <a:ext uri="{FF2B5EF4-FFF2-40B4-BE49-F238E27FC236}">
              <a16:creationId xmlns:a16="http://schemas.microsoft.com/office/drawing/2014/main" id="{E5DF0FA8-2B07-49DE-BFEC-6DFD5EF7599A}"/>
            </a:ext>
          </a:extLst>
        </xdr:cNvPr>
        <xdr:cNvSpPr>
          <a:spLocks noChangeShapeType="1"/>
        </xdr:cNvSpPr>
      </xdr:nvSpPr>
      <xdr:spPr bwMode="auto">
        <a:xfrm>
          <a:off x="321945" y="3756660"/>
          <a:ext cx="18954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0" name="Line 71">
          <a:extLst>
            <a:ext uri="{FF2B5EF4-FFF2-40B4-BE49-F238E27FC236}">
              <a16:creationId xmlns:a16="http://schemas.microsoft.com/office/drawing/2014/main" id="{3C427524-A708-4BD2-AF45-18309CB0A83D}"/>
            </a:ext>
          </a:extLst>
        </xdr:cNvPr>
        <xdr:cNvSpPr>
          <a:spLocks noChangeShapeType="1"/>
        </xdr:cNvSpPr>
      </xdr:nvSpPr>
      <xdr:spPr bwMode="auto">
        <a:xfrm>
          <a:off x="312420" y="3756660"/>
          <a:ext cx="19050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1" name="Line 72">
          <a:extLst>
            <a:ext uri="{FF2B5EF4-FFF2-40B4-BE49-F238E27FC236}">
              <a16:creationId xmlns:a16="http://schemas.microsoft.com/office/drawing/2014/main" id="{1B99A4AB-C3EF-4B85-A74E-3D47229B02D8}"/>
            </a:ext>
          </a:extLst>
        </xdr:cNvPr>
        <xdr:cNvSpPr>
          <a:spLocks noChangeShapeType="1"/>
        </xdr:cNvSpPr>
      </xdr:nvSpPr>
      <xdr:spPr bwMode="auto">
        <a:xfrm flipH="1">
          <a:off x="9525" y="3756660"/>
          <a:ext cx="312420" cy="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7</xdr:col>
          <xdr:colOff>247650</xdr:colOff>
          <xdr:row>0</xdr:row>
          <xdr:rowOff>200025</xdr:rowOff>
        </xdr:from>
        <xdr:to>
          <xdr:col>8</xdr:col>
          <xdr:colOff>1428750</xdr:colOff>
          <xdr:row>0</xdr:row>
          <xdr:rowOff>352425</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1247775</xdr:colOff>
          <xdr:row>0</xdr:row>
          <xdr:rowOff>581025</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1162050</xdr:colOff>
          <xdr:row>0</xdr:row>
          <xdr:rowOff>352425</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352425</xdr:rowOff>
        </xdr:from>
        <xdr:to>
          <xdr:col>9</xdr:col>
          <xdr:colOff>1419225</xdr:colOff>
          <xdr:row>1</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twoCellAnchor editAs="oneCell">
    <xdr:from>
      <xdr:col>13</xdr:col>
      <xdr:colOff>660400</xdr:colOff>
      <xdr:row>0</xdr:row>
      <xdr:rowOff>63501</xdr:rowOff>
    </xdr:from>
    <xdr:to>
      <xdr:col>13</xdr:col>
      <xdr:colOff>1202690</xdr:colOff>
      <xdr:row>0</xdr:row>
      <xdr:rowOff>513716</xdr:rowOff>
    </xdr:to>
    <xdr:pic>
      <xdr:nvPicPr>
        <xdr:cNvPr id="72" name="Picture 71" descr="QatarEnergy - Wikipedia">
          <a:extLst>
            <a:ext uri="{FF2B5EF4-FFF2-40B4-BE49-F238E27FC236}">
              <a16:creationId xmlns:a16="http://schemas.microsoft.com/office/drawing/2014/main" id="{D3661028-8CA9-4B34-92E3-28514A2814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03220" y="63501"/>
          <a:ext cx="542290" cy="4502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1148965</xdr:colOff>
      <xdr:row>31</xdr:row>
      <xdr:rowOff>98728</xdr:rowOff>
    </xdr:from>
    <xdr:to>
      <xdr:col>14</xdr:col>
      <xdr:colOff>230</xdr:colOff>
      <xdr:row>35</xdr:row>
      <xdr:rowOff>372355</xdr:rowOff>
    </xdr:to>
    <xdr:pic>
      <xdr:nvPicPr>
        <xdr:cNvPr id="73" name="Picture 72">
          <a:extLst>
            <a:ext uri="{FF2B5EF4-FFF2-40B4-BE49-F238E27FC236}">
              <a16:creationId xmlns:a16="http://schemas.microsoft.com/office/drawing/2014/main" id="{BDF36742-DBF2-4877-B543-FC2F0C47420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091785" y="12854608"/>
          <a:ext cx="1951705" cy="136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247650</xdr:colOff>
          <xdr:row>0</xdr:row>
          <xdr:rowOff>200025</xdr:rowOff>
        </xdr:from>
        <xdr:to>
          <xdr:col>8</xdr:col>
          <xdr:colOff>1428750</xdr:colOff>
          <xdr:row>0</xdr:row>
          <xdr:rowOff>342900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2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1247775</xdr:colOff>
          <xdr:row>0</xdr:row>
          <xdr:rowOff>581025</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2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1162050</xdr:colOff>
          <xdr:row>0</xdr:row>
          <xdr:rowOff>342900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2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352425</xdr:rowOff>
        </xdr:from>
        <xdr:to>
          <xdr:col>9</xdr:col>
          <xdr:colOff>1409700</xdr:colOff>
          <xdr:row>1</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2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200025</xdr:rowOff>
        </xdr:from>
        <xdr:to>
          <xdr:col>8</xdr:col>
          <xdr:colOff>1457325</xdr:colOff>
          <xdr:row>0</xdr:row>
          <xdr:rowOff>342900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1247775</xdr:colOff>
          <xdr:row>0</xdr:row>
          <xdr:rowOff>590550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1162050</xdr:colOff>
          <xdr:row>0</xdr:row>
          <xdr:rowOff>352425</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2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352425</xdr:rowOff>
        </xdr:from>
        <xdr:to>
          <xdr:col>9</xdr:col>
          <xdr:colOff>1409700</xdr:colOff>
          <xdr:row>0</xdr:row>
          <xdr:rowOff>590550</xdr:rowOff>
        </xdr:to>
        <xdr:sp macro="" textlink="">
          <xdr:nvSpPr>
            <xdr:cNvPr id="4118" name="Check Box 22" hidden="1">
              <a:extLst>
                <a:ext uri="{63B3BB69-23CF-44E3-9099-C40C66FF867C}">
                  <a14:compatExt spid="_x0000_s4118"/>
                </a:ext>
                <a:ext uri="{FF2B5EF4-FFF2-40B4-BE49-F238E27FC236}">
                  <a16:creationId xmlns:a16="http://schemas.microsoft.com/office/drawing/2014/main" id="{00000000-0008-0000-02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4DE04DCA-5449-4DB9-A343-4409D57A4211}"/>
            </a:ext>
          </a:extLst>
        </xdr:cNvPr>
        <xdr:cNvSpPr>
          <a:spLocks noChangeShapeType="1"/>
        </xdr:cNvSpPr>
      </xdr:nvSpPr>
      <xdr:spPr bwMode="auto">
        <a:xfrm flipV="1">
          <a:off x="33147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3" name="Line 2">
          <a:extLst>
            <a:ext uri="{FF2B5EF4-FFF2-40B4-BE49-F238E27FC236}">
              <a16:creationId xmlns:a16="http://schemas.microsoft.com/office/drawing/2014/main" id="{7E87C636-8F19-4846-A012-5F9B349ED2AD}"/>
            </a:ext>
          </a:extLst>
        </xdr:cNvPr>
        <xdr:cNvSpPr>
          <a:spLocks noChangeShapeType="1"/>
        </xdr:cNvSpPr>
      </xdr:nvSpPr>
      <xdr:spPr bwMode="auto">
        <a:xfrm>
          <a:off x="321945" y="0"/>
          <a:ext cx="189547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4" name="Line 3">
          <a:extLst>
            <a:ext uri="{FF2B5EF4-FFF2-40B4-BE49-F238E27FC236}">
              <a16:creationId xmlns:a16="http://schemas.microsoft.com/office/drawing/2014/main" id="{762FC7AF-2A95-4861-BFDA-9CAC9B16C487}"/>
            </a:ext>
          </a:extLst>
        </xdr:cNvPr>
        <xdr:cNvSpPr>
          <a:spLocks noChangeShapeType="1"/>
        </xdr:cNvSpPr>
      </xdr:nvSpPr>
      <xdr:spPr bwMode="auto">
        <a:xfrm>
          <a:off x="312420" y="0"/>
          <a:ext cx="19050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 name="Line 4">
          <a:extLst>
            <a:ext uri="{FF2B5EF4-FFF2-40B4-BE49-F238E27FC236}">
              <a16:creationId xmlns:a16="http://schemas.microsoft.com/office/drawing/2014/main" id="{8DFF764E-9E2C-4B17-91E6-0CB945CD665A}"/>
            </a:ext>
          </a:extLst>
        </xdr:cNvPr>
        <xdr:cNvSpPr>
          <a:spLocks noChangeShapeType="1"/>
        </xdr:cNvSpPr>
      </xdr:nvSpPr>
      <xdr:spPr bwMode="auto">
        <a:xfrm>
          <a:off x="221742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C33BB846-1A92-4F29-85AB-6B19F14BF2E2}"/>
            </a:ext>
          </a:extLst>
        </xdr:cNvPr>
        <xdr:cNvSpPr>
          <a:spLocks noChangeShapeType="1"/>
        </xdr:cNvSpPr>
      </xdr:nvSpPr>
      <xdr:spPr bwMode="auto">
        <a:xfrm flipH="1">
          <a:off x="9525" y="0"/>
          <a:ext cx="31242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7" name="Line 6">
          <a:extLst>
            <a:ext uri="{FF2B5EF4-FFF2-40B4-BE49-F238E27FC236}">
              <a16:creationId xmlns:a16="http://schemas.microsoft.com/office/drawing/2014/main" id="{051B5D03-8F86-420E-ADDD-26E965BE74F6}"/>
            </a:ext>
          </a:extLst>
        </xdr:cNvPr>
        <xdr:cNvSpPr>
          <a:spLocks noChangeShapeType="1"/>
        </xdr:cNvSpPr>
      </xdr:nvSpPr>
      <xdr:spPr bwMode="auto">
        <a:xfrm flipH="1">
          <a:off x="221742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8" name="Line 7">
          <a:extLst>
            <a:ext uri="{FF2B5EF4-FFF2-40B4-BE49-F238E27FC236}">
              <a16:creationId xmlns:a16="http://schemas.microsoft.com/office/drawing/2014/main" id="{6D076816-89ED-41AF-B231-437BCA1E50F9}"/>
            </a:ext>
          </a:extLst>
        </xdr:cNvPr>
        <xdr:cNvSpPr>
          <a:spLocks noChangeShapeType="1"/>
        </xdr:cNvSpPr>
      </xdr:nvSpPr>
      <xdr:spPr bwMode="auto">
        <a:xfrm flipV="1">
          <a:off x="221742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CBC75A5A-1FD4-4283-857E-48A1C391F149}"/>
            </a:ext>
          </a:extLst>
        </xdr:cNvPr>
        <xdr:cNvSpPr>
          <a:spLocks noChangeShapeType="1"/>
        </xdr:cNvSpPr>
      </xdr:nvSpPr>
      <xdr:spPr bwMode="auto">
        <a:xfrm>
          <a:off x="31242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 name="Line 9">
          <a:extLst>
            <a:ext uri="{FF2B5EF4-FFF2-40B4-BE49-F238E27FC236}">
              <a16:creationId xmlns:a16="http://schemas.microsoft.com/office/drawing/2014/main" id="{CB07DADB-D06D-4B65-BBAA-5D94FC183867}"/>
            </a:ext>
          </a:extLst>
        </xdr:cNvPr>
        <xdr:cNvSpPr>
          <a:spLocks noChangeShapeType="1"/>
        </xdr:cNvSpPr>
      </xdr:nvSpPr>
      <xdr:spPr bwMode="auto">
        <a:xfrm flipV="1">
          <a:off x="27813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1" name="Line 10">
          <a:extLst>
            <a:ext uri="{FF2B5EF4-FFF2-40B4-BE49-F238E27FC236}">
              <a16:creationId xmlns:a16="http://schemas.microsoft.com/office/drawing/2014/main" id="{570D5C98-7A7A-49D7-8EAB-3E1331B37401}"/>
            </a:ext>
          </a:extLst>
        </xdr:cNvPr>
        <xdr:cNvSpPr>
          <a:spLocks noChangeShapeType="1"/>
        </xdr:cNvSpPr>
      </xdr:nvSpPr>
      <xdr:spPr bwMode="auto">
        <a:xfrm>
          <a:off x="0" y="0"/>
          <a:ext cx="2280094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2" name="Line 11">
          <a:extLst>
            <a:ext uri="{FF2B5EF4-FFF2-40B4-BE49-F238E27FC236}">
              <a16:creationId xmlns:a16="http://schemas.microsoft.com/office/drawing/2014/main" id="{9B21E988-D995-4E7B-95C0-B2244A64E8C4}"/>
            </a:ext>
          </a:extLst>
        </xdr:cNvPr>
        <xdr:cNvSpPr>
          <a:spLocks noChangeShapeType="1"/>
        </xdr:cNvSpPr>
      </xdr:nvSpPr>
      <xdr:spPr bwMode="auto">
        <a:xfrm flipH="1">
          <a:off x="19050" y="0"/>
          <a:ext cx="2651379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3" name="Line 12">
          <a:extLst>
            <a:ext uri="{FF2B5EF4-FFF2-40B4-BE49-F238E27FC236}">
              <a16:creationId xmlns:a16="http://schemas.microsoft.com/office/drawing/2014/main" id="{AAFA09BF-96FF-4438-9515-BFB01516C19A}"/>
            </a:ext>
          </a:extLst>
        </xdr:cNvPr>
        <xdr:cNvSpPr>
          <a:spLocks noChangeShapeType="1"/>
        </xdr:cNvSpPr>
      </xdr:nvSpPr>
      <xdr:spPr bwMode="auto">
        <a:xfrm>
          <a:off x="9525" y="0"/>
          <a:ext cx="220789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4" name="Line 13">
          <a:extLst>
            <a:ext uri="{FF2B5EF4-FFF2-40B4-BE49-F238E27FC236}">
              <a16:creationId xmlns:a16="http://schemas.microsoft.com/office/drawing/2014/main" id="{EB64AE0D-8AC0-400D-A822-8B97DF6BC8D4}"/>
            </a:ext>
          </a:extLst>
        </xdr:cNvPr>
        <xdr:cNvSpPr>
          <a:spLocks noChangeShapeType="1"/>
        </xdr:cNvSpPr>
      </xdr:nvSpPr>
      <xdr:spPr bwMode="auto">
        <a:xfrm flipH="1" flipV="1">
          <a:off x="27813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34AB81D2-67EA-45BC-BC9B-732A728C67EF}"/>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6" name="Line 15">
          <a:extLst>
            <a:ext uri="{FF2B5EF4-FFF2-40B4-BE49-F238E27FC236}">
              <a16:creationId xmlns:a16="http://schemas.microsoft.com/office/drawing/2014/main" id="{D775C723-E2BE-419E-9B61-9D86262D7700}"/>
            </a:ext>
          </a:extLst>
        </xdr:cNvPr>
        <xdr:cNvSpPr>
          <a:spLocks noChangeShapeType="1"/>
        </xdr:cNvSpPr>
      </xdr:nvSpPr>
      <xdr:spPr bwMode="auto">
        <a:xfrm>
          <a:off x="0" y="0"/>
          <a:ext cx="2653284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7" name="Line 16">
          <a:extLst>
            <a:ext uri="{FF2B5EF4-FFF2-40B4-BE49-F238E27FC236}">
              <a16:creationId xmlns:a16="http://schemas.microsoft.com/office/drawing/2014/main" id="{3D0A502D-0431-4726-B83C-032B3B1564E7}"/>
            </a:ext>
          </a:extLst>
        </xdr:cNvPr>
        <xdr:cNvSpPr>
          <a:spLocks noChangeShapeType="1"/>
        </xdr:cNvSpPr>
      </xdr:nvSpPr>
      <xdr:spPr bwMode="auto">
        <a:xfrm flipH="1" flipV="1">
          <a:off x="2653284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8" name="Line 17">
          <a:extLst>
            <a:ext uri="{FF2B5EF4-FFF2-40B4-BE49-F238E27FC236}">
              <a16:creationId xmlns:a16="http://schemas.microsoft.com/office/drawing/2014/main" id="{7C251F9C-546C-47A5-A309-BDCB002F6071}"/>
            </a:ext>
          </a:extLst>
        </xdr:cNvPr>
        <xdr:cNvSpPr>
          <a:spLocks noChangeShapeType="1"/>
        </xdr:cNvSpPr>
      </xdr:nvSpPr>
      <xdr:spPr bwMode="auto">
        <a:xfrm flipH="1" flipV="1">
          <a:off x="0" y="0"/>
          <a:ext cx="258381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CEDC3D9F-65DF-425D-8324-B845E2273859}"/>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20" name="Line 19">
          <a:extLst>
            <a:ext uri="{FF2B5EF4-FFF2-40B4-BE49-F238E27FC236}">
              <a16:creationId xmlns:a16="http://schemas.microsoft.com/office/drawing/2014/main" id="{FDB00885-618E-472F-834B-E35C103C70A5}"/>
            </a:ext>
          </a:extLst>
        </xdr:cNvPr>
        <xdr:cNvSpPr>
          <a:spLocks noChangeShapeType="1"/>
        </xdr:cNvSpPr>
      </xdr:nvSpPr>
      <xdr:spPr bwMode="auto">
        <a:xfrm>
          <a:off x="2236470" y="0"/>
          <a:ext cx="2089404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26</xdr:col>
      <xdr:colOff>0</xdr:colOff>
      <xdr:row>0</xdr:row>
      <xdr:rowOff>0</xdr:rowOff>
    </xdr:to>
    <xdr:sp macro="" textlink="">
      <xdr:nvSpPr>
        <xdr:cNvPr id="21" name="Line 20">
          <a:extLst>
            <a:ext uri="{FF2B5EF4-FFF2-40B4-BE49-F238E27FC236}">
              <a16:creationId xmlns:a16="http://schemas.microsoft.com/office/drawing/2014/main" id="{56C56FE1-D472-4ECA-AFA5-83CB578A1DD2}"/>
            </a:ext>
          </a:extLst>
        </xdr:cNvPr>
        <xdr:cNvSpPr>
          <a:spLocks noChangeShapeType="1"/>
        </xdr:cNvSpPr>
      </xdr:nvSpPr>
      <xdr:spPr bwMode="auto">
        <a:xfrm>
          <a:off x="2217420" y="0"/>
          <a:ext cx="2357628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22" name="Line 21">
          <a:extLst>
            <a:ext uri="{FF2B5EF4-FFF2-40B4-BE49-F238E27FC236}">
              <a16:creationId xmlns:a16="http://schemas.microsoft.com/office/drawing/2014/main" id="{14C1B261-4B12-4FE4-BDEC-463D904D0352}"/>
            </a:ext>
          </a:extLst>
        </xdr:cNvPr>
        <xdr:cNvSpPr>
          <a:spLocks noChangeShapeType="1"/>
        </xdr:cNvSpPr>
      </xdr:nvSpPr>
      <xdr:spPr bwMode="auto">
        <a:xfrm>
          <a:off x="19050" y="0"/>
          <a:ext cx="24907875"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23" name="Line 22">
          <a:extLst>
            <a:ext uri="{FF2B5EF4-FFF2-40B4-BE49-F238E27FC236}">
              <a16:creationId xmlns:a16="http://schemas.microsoft.com/office/drawing/2014/main" id="{E981574E-5998-4070-A9DF-1412CB1E2DB5}"/>
            </a:ext>
          </a:extLst>
        </xdr:cNvPr>
        <xdr:cNvSpPr>
          <a:spLocks noChangeShapeType="1"/>
        </xdr:cNvSpPr>
      </xdr:nvSpPr>
      <xdr:spPr bwMode="auto">
        <a:xfrm>
          <a:off x="25146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24" name="Line 23">
          <a:extLst>
            <a:ext uri="{FF2B5EF4-FFF2-40B4-BE49-F238E27FC236}">
              <a16:creationId xmlns:a16="http://schemas.microsoft.com/office/drawing/2014/main" id="{7A48873D-8115-4075-B3D2-63331BE34D7A}"/>
            </a:ext>
          </a:extLst>
        </xdr:cNvPr>
        <xdr:cNvSpPr>
          <a:spLocks noChangeShapeType="1"/>
        </xdr:cNvSpPr>
      </xdr:nvSpPr>
      <xdr:spPr bwMode="auto">
        <a:xfrm flipV="1">
          <a:off x="278130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5" name="Line 24">
          <a:extLst>
            <a:ext uri="{FF2B5EF4-FFF2-40B4-BE49-F238E27FC236}">
              <a16:creationId xmlns:a16="http://schemas.microsoft.com/office/drawing/2014/main" id="{E1C0258C-26C7-45E6-9300-9ACD0A47AC39}"/>
            </a:ext>
          </a:extLst>
        </xdr:cNvPr>
        <xdr:cNvSpPr>
          <a:spLocks noChangeShapeType="1"/>
        </xdr:cNvSpPr>
      </xdr:nvSpPr>
      <xdr:spPr bwMode="auto">
        <a:xfrm>
          <a:off x="221742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26" name="Line 25">
          <a:extLst>
            <a:ext uri="{FF2B5EF4-FFF2-40B4-BE49-F238E27FC236}">
              <a16:creationId xmlns:a16="http://schemas.microsoft.com/office/drawing/2014/main" id="{2CCF34CC-B009-41EB-98FF-FFA11B478C01}"/>
            </a:ext>
          </a:extLst>
        </xdr:cNvPr>
        <xdr:cNvSpPr>
          <a:spLocks noChangeShapeType="1"/>
        </xdr:cNvSpPr>
      </xdr:nvSpPr>
      <xdr:spPr bwMode="auto">
        <a:xfrm>
          <a:off x="22877145"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27" name="Line 26">
          <a:extLst>
            <a:ext uri="{FF2B5EF4-FFF2-40B4-BE49-F238E27FC236}">
              <a16:creationId xmlns:a16="http://schemas.microsoft.com/office/drawing/2014/main" id="{E8F01489-6C0D-43E7-92AF-BAFBA74834D0}"/>
            </a:ext>
          </a:extLst>
        </xdr:cNvPr>
        <xdr:cNvSpPr>
          <a:spLocks noChangeShapeType="1"/>
        </xdr:cNvSpPr>
      </xdr:nvSpPr>
      <xdr:spPr bwMode="auto">
        <a:xfrm>
          <a:off x="22705695" y="0"/>
          <a:ext cx="3097530"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28" name="Line 27">
          <a:extLst>
            <a:ext uri="{FF2B5EF4-FFF2-40B4-BE49-F238E27FC236}">
              <a16:creationId xmlns:a16="http://schemas.microsoft.com/office/drawing/2014/main" id="{89D02F53-70A1-4CEA-A1E8-152E6725BE2E}"/>
            </a:ext>
          </a:extLst>
        </xdr:cNvPr>
        <xdr:cNvSpPr>
          <a:spLocks noChangeShapeType="1"/>
        </xdr:cNvSpPr>
      </xdr:nvSpPr>
      <xdr:spPr bwMode="auto">
        <a:xfrm>
          <a:off x="20440650" y="0"/>
          <a:ext cx="268986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29" name="Line 28">
          <a:extLst>
            <a:ext uri="{FF2B5EF4-FFF2-40B4-BE49-F238E27FC236}">
              <a16:creationId xmlns:a16="http://schemas.microsoft.com/office/drawing/2014/main" id="{5CBEC9AC-3016-4B5E-90F9-93A27411548E}"/>
            </a:ext>
          </a:extLst>
        </xdr:cNvPr>
        <xdr:cNvSpPr>
          <a:spLocks noChangeShapeType="1"/>
        </xdr:cNvSpPr>
      </xdr:nvSpPr>
      <xdr:spPr bwMode="auto">
        <a:xfrm>
          <a:off x="20162520"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30" name="Line 29">
          <a:extLst>
            <a:ext uri="{FF2B5EF4-FFF2-40B4-BE49-F238E27FC236}">
              <a16:creationId xmlns:a16="http://schemas.microsoft.com/office/drawing/2014/main" id="{77758EAE-E5A0-4446-8750-AE7EBDEB12B9}"/>
            </a:ext>
          </a:extLst>
        </xdr:cNvPr>
        <xdr:cNvSpPr>
          <a:spLocks noChangeShapeType="1"/>
        </xdr:cNvSpPr>
      </xdr:nvSpPr>
      <xdr:spPr bwMode="auto">
        <a:xfrm>
          <a:off x="20690205"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31" name="Line 30">
          <a:extLst>
            <a:ext uri="{FF2B5EF4-FFF2-40B4-BE49-F238E27FC236}">
              <a16:creationId xmlns:a16="http://schemas.microsoft.com/office/drawing/2014/main" id="{38A844BB-5F51-4E73-96A5-5C77B4C47D4C}"/>
            </a:ext>
          </a:extLst>
        </xdr:cNvPr>
        <xdr:cNvSpPr>
          <a:spLocks noChangeShapeType="1"/>
        </xdr:cNvSpPr>
      </xdr:nvSpPr>
      <xdr:spPr bwMode="auto">
        <a:xfrm>
          <a:off x="24917400" y="0"/>
          <a:ext cx="161544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32" name="Line 31">
          <a:extLst>
            <a:ext uri="{FF2B5EF4-FFF2-40B4-BE49-F238E27FC236}">
              <a16:creationId xmlns:a16="http://schemas.microsoft.com/office/drawing/2014/main" id="{FB362AC0-BD82-489B-B74C-ECD936B0919C}"/>
            </a:ext>
          </a:extLst>
        </xdr:cNvPr>
        <xdr:cNvSpPr>
          <a:spLocks noChangeShapeType="1"/>
        </xdr:cNvSpPr>
      </xdr:nvSpPr>
      <xdr:spPr bwMode="auto">
        <a:xfrm>
          <a:off x="2263902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3" name="Line 32">
          <a:extLst>
            <a:ext uri="{FF2B5EF4-FFF2-40B4-BE49-F238E27FC236}">
              <a16:creationId xmlns:a16="http://schemas.microsoft.com/office/drawing/2014/main" id="{42257B70-8148-434F-8C75-5ECB9D02C75B}"/>
            </a:ext>
          </a:extLst>
        </xdr:cNvPr>
        <xdr:cNvSpPr>
          <a:spLocks noChangeShapeType="1"/>
        </xdr:cNvSpPr>
      </xdr:nvSpPr>
      <xdr:spPr bwMode="auto">
        <a:xfrm>
          <a:off x="22639020" y="0"/>
          <a:ext cx="389382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4" name="Line 33">
          <a:extLst>
            <a:ext uri="{FF2B5EF4-FFF2-40B4-BE49-F238E27FC236}">
              <a16:creationId xmlns:a16="http://schemas.microsoft.com/office/drawing/2014/main" id="{7389C5FF-4308-481B-8FE8-04FA7AE606CF}"/>
            </a:ext>
          </a:extLst>
        </xdr:cNvPr>
        <xdr:cNvSpPr>
          <a:spLocks noChangeShapeType="1"/>
        </xdr:cNvSpPr>
      </xdr:nvSpPr>
      <xdr:spPr bwMode="auto">
        <a:xfrm>
          <a:off x="22639020" y="0"/>
          <a:ext cx="389382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5" name="Line 34">
          <a:extLst>
            <a:ext uri="{FF2B5EF4-FFF2-40B4-BE49-F238E27FC236}">
              <a16:creationId xmlns:a16="http://schemas.microsoft.com/office/drawing/2014/main" id="{E1D56B58-7ACB-4CD3-A681-477581A19CC5}"/>
            </a:ext>
          </a:extLst>
        </xdr:cNvPr>
        <xdr:cNvSpPr>
          <a:spLocks noChangeShapeType="1"/>
        </xdr:cNvSpPr>
      </xdr:nvSpPr>
      <xdr:spPr bwMode="auto">
        <a:xfrm>
          <a:off x="22639020" y="0"/>
          <a:ext cx="389382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6" name="Line 35">
          <a:extLst>
            <a:ext uri="{FF2B5EF4-FFF2-40B4-BE49-F238E27FC236}">
              <a16:creationId xmlns:a16="http://schemas.microsoft.com/office/drawing/2014/main" id="{6D27A836-5C2D-41FF-848A-67A602C918D6}"/>
            </a:ext>
          </a:extLst>
        </xdr:cNvPr>
        <xdr:cNvSpPr>
          <a:spLocks noChangeShapeType="1"/>
        </xdr:cNvSpPr>
      </xdr:nvSpPr>
      <xdr:spPr bwMode="auto">
        <a:xfrm>
          <a:off x="22639020" y="0"/>
          <a:ext cx="3893820"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37" name="Line 36">
          <a:extLst>
            <a:ext uri="{FF2B5EF4-FFF2-40B4-BE49-F238E27FC236}">
              <a16:creationId xmlns:a16="http://schemas.microsoft.com/office/drawing/2014/main" id="{C01FC055-0BC9-413D-B23B-FDD2B614E9F7}"/>
            </a:ext>
          </a:extLst>
        </xdr:cNvPr>
        <xdr:cNvSpPr>
          <a:spLocks noChangeShapeType="1"/>
        </xdr:cNvSpPr>
      </xdr:nvSpPr>
      <xdr:spPr bwMode="auto">
        <a:xfrm>
          <a:off x="22648545" y="0"/>
          <a:ext cx="3884295"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38" name="Line 37">
          <a:extLst>
            <a:ext uri="{FF2B5EF4-FFF2-40B4-BE49-F238E27FC236}">
              <a16:creationId xmlns:a16="http://schemas.microsoft.com/office/drawing/2014/main" id="{49C53384-571A-4F65-BCD5-200FE2792CBC}"/>
            </a:ext>
          </a:extLst>
        </xdr:cNvPr>
        <xdr:cNvSpPr>
          <a:spLocks noChangeShapeType="1"/>
        </xdr:cNvSpPr>
      </xdr:nvSpPr>
      <xdr:spPr bwMode="auto">
        <a:xfrm>
          <a:off x="2363914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39" name="Line 38">
          <a:extLst>
            <a:ext uri="{FF2B5EF4-FFF2-40B4-BE49-F238E27FC236}">
              <a16:creationId xmlns:a16="http://schemas.microsoft.com/office/drawing/2014/main" id="{38C48902-B335-4D95-B85D-FA3526D17CE6}"/>
            </a:ext>
          </a:extLst>
        </xdr:cNvPr>
        <xdr:cNvSpPr>
          <a:spLocks noChangeShapeType="1"/>
        </xdr:cNvSpPr>
      </xdr:nvSpPr>
      <xdr:spPr bwMode="auto">
        <a:xfrm flipH="1">
          <a:off x="25317450"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0" name="Line 39">
          <a:extLst>
            <a:ext uri="{FF2B5EF4-FFF2-40B4-BE49-F238E27FC236}">
              <a16:creationId xmlns:a16="http://schemas.microsoft.com/office/drawing/2014/main" id="{EBB0AC63-FAEC-416F-958D-319B966D1300}"/>
            </a:ext>
          </a:extLst>
        </xdr:cNvPr>
        <xdr:cNvSpPr>
          <a:spLocks noChangeShapeType="1"/>
        </xdr:cNvSpPr>
      </xdr:nvSpPr>
      <xdr:spPr bwMode="auto">
        <a:xfrm flipV="1">
          <a:off x="2531745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1" name="Line 40">
          <a:extLst>
            <a:ext uri="{FF2B5EF4-FFF2-40B4-BE49-F238E27FC236}">
              <a16:creationId xmlns:a16="http://schemas.microsoft.com/office/drawing/2014/main" id="{D37C41BC-7306-4DA3-B745-3DE6367EFA15}"/>
            </a:ext>
          </a:extLst>
        </xdr:cNvPr>
        <xdr:cNvSpPr>
          <a:spLocks noChangeShapeType="1"/>
        </xdr:cNvSpPr>
      </xdr:nvSpPr>
      <xdr:spPr bwMode="auto">
        <a:xfrm>
          <a:off x="25317450"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42" name="Line 41">
          <a:extLst>
            <a:ext uri="{FF2B5EF4-FFF2-40B4-BE49-F238E27FC236}">
              <a16:creationId xmlns:a16="http://schemas.microsoft.com/office/drawing/2014/main" id="{C33FFB50-3C5D-43E8-8368-DA76CA360FC9}"/>
            </a:ext>
          </a:extLst>
        </xdr:cNvPr>
        <xdr:cNvSpPr>
          <a:spLocks noChangeShapeType="1"/>
        </xdr:cNvSpPr>
      </xdr:nvSpPr>
      <xdr:spPr bwMode="auto">
        <a:xfrm>
          <a:off x="24185880"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43" name="Line 42">
          <a:extLst>
            <a:ext uri="{FF2B5EF4-FFF2-40B4-BE49-F238E27FC236}">
              <a16:creationId xmlns:a16="http://schemas.microsoft.com/office/drawing/2014/main" id="{9761E842-C711-47F0-9329-C7FDEFA51190}"/>
            </a:ext>
          </a:extLst>
        </xdr:cNvPr>
        <xdr:cNvSpPr>
          <a:spLocks noChangeShapeType="1"/>
        </xdr:cNvSpPr>
      </xdr:nvSpPr>
      <xdr:spPr bwMode="auto">
        <a:xfrm>
          <a:off x="25765125"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44" name="Line 43">
          <a:extLst>
            <a:ext uri="{FF2B5EF4-FFF2-40B4-BE49-F238E27FC236}">
              <a16:creationId xmlns:a16="http://schemas.microsoft.com/office/drawing/2014/main" id="{3F751453-DCAA-4C1F-B4E2-2359CBAD152A}"/>
            </a:ext>
          </a:extLst>
        </xdr:cNvPr>
        <xdr:cNvSpPr>
          <a:spLocks noChangeShapeType="1"/>
        </xdr:cNvSpPr>
      </xdr:nvSpPr>
      <xdr:spPr bwMode="auto">
        <a:xfrm>
          <a:off x="11694795" y="0"/>
          <a:ext cx="1183005"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45" name="Line 44">
          <a:extLst>
            <a:ext uri="{FF2B5EF4-FFF2-40B4-BE49-F238E27FC236}">
              <a16:creationId xmlns:a16="http://schemas.microsoft.com/office/drawing/2014/main" id="{A2FAFE7C-E269-4261-963D-F105E8C47FFA}"/>
            </a:ext>
          </a:extLst>
        </xdr:cNvPr>
        <xdr:cNvSpPr>
          <a:spLocks noChangeShapeType="1"/>
        </xdr:cNvSpPr>
      </xdr:nvSpPr>
      <xdr:spPr bwMode="auto">
        <a:xfrm>
          <a:off x="2016252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46" name="Line 45">
          <a:extLst>
            <a:ext uri="{FF2B5EF4-FFF2-40B4-BE49-F238E27FC236}">
              <a16:creationId xmlns:a16="http://schemas.microsoft.com/office/drawing/2014/main" id="{C0C683B2-F72D-4994-8814-06D2D53FF177}"/>
            </a:ext>
          </a:extLst>
        </xdr:cNvPr>
        <xdr:cNvSpPr>
          <a:spLocks noChangeShapeType="1"/>
        </xdr:cNvSpPr>
      </xdr:nvSpPr>
      <xdr:spPr bwMode="auto">
        <a:xfrm>
          <a:off x="20162520" y="0"/>
          <a:ext cx="25908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47" name="Line 46">
          <a:extLst>
            <a:ext uri="{FF2B5EF4-FFF2-40B4-BE49-F238E27FC236}">
              <a16:creationId xmlns:a16="http://schemas.microsoft.com/office/drawing/2014/main" id="{54970507-EF31-493E-97AD-6CB812D7FFC9}"/>
            </a:ext>
          </a:extLst>
        </xdr:cNvPr>
        <xdr:cNvSpPr>
          <a:spLocks noChangeShapeType="1"/>
        </xdr:cNvSpPr>
      </xdr:nvSpPr>
      <xdr:spPr bwMode="auto">
        <a:xfrm>
          <a:off x="11694795" y="0"/>
          <a:ext cx="8562975"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48" name="Line 47">
          <a:extLst>
            <a:ext uri="{FF2B5EF4-FFF2-40B4-BE49-F238E27FC236}">
              <a16:creationId xmlns:a16="http://schemas.microsoft.com/office/drawing/2014/main" id="{74FA90BF-6A0B-46A1-AA61-A959EF70065E}"/>
            </a:ext>
          </a:extLst>
        </xdr:cNvPr>
        <xdr:cNvSpPr>
          <a:spLocks noChangeShapeType="1"/>
        </xdr:cNvSpPr>
      </xdr:nvSpPr>
      <xdr:spPr bwMode="auto">
        <a:xfrm>
          <a:off x="20191095" y="0"/>
          <a:ext cx="89154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74CEAA92-2E72-4085-8627-5D34A4D344F0}"/>
            </a:ext>
          </a:extLst>
        </xdr:cNvPr>
        <xdr:cNvSpPr>
          <a:spLocks noChangeShapeType="1"/>
        </xdr:cNvSpPr>
      </xdr:nvSpPr>
      <xdr:spPr bwMode="auto">
        <a:xfrm>
          <a:off x="63246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50" name="Line 50">
          <a:extLst>
            <a:ext uri="{FF2B5EF4-FFF2-40B4-BE49-F238E27FC236}">
              <a16:creationId xmlns:a16="http://schemas.microsoft.com/office/drawing/2014/main" id="{03D0C2AE-A433-4589-BB22-6DC1235B6B9A}"/>
            </a:ext>
          </a:extLst>
        </xdr:cNvPr>
        <xdr:cNvSpPr>
          <a:spLocks noChangeShapeType="1"/>
        </xdr:cNvSpPr>
      </xdr:nvSpPr>
      <xdr:spPr bwMode="auto">
        <a:xfrm>
          <a:off x="25146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51" name="Line 51">
          <a:extLst>
            <a:ext uri="{FF2B5EF4-FFF2-40B4-BE49-F238E27FC236}">
              <a16:creationId xmlns:a16="http://schemas.microsoft.com/office/drawing/2014/main" id="{4D90C68D-D100-4F97-B1D8-D1E4406CF010}"/>
            </a:ext>
          </a:extLst>
        </xdr:cNvPr>
        <xdr:cNvSpPr>
          <a:spLocks noChangeShapeType="1"/>
        </xdr:cNvSpPr>
      </xdr:nvSpPr>
      <xdr:spPr bwMode="auto">
        <a:xfrm>
          <a:off x="2781300" y="0"/>
          <a:ext cx="1605534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52" name="Line 52">
          <a:extLst>
            <a:ext uri="{FF2B5EF4-FFF2-40B4-BE49-F238E27FC236}">
              <a16:creationId xmlns:a16="http://schemas.microsoft.com/office/drawing/2014/main" id="{0AF3704A-7C0A-4442-8E01-3D6D7C5981A0}"/>
            </a:ext>
          </a:extLst>
        </xdr:cNvPr>
        <xdr:cNvSpPr>
          <a:spLocks noChangeShapeType="1"/>
        </xdr:cNvSpPr>
      </xdr:nvSpPr>
      <xdr:spPr bwMode="auto">
        <a:xfrm flipH="1">
          <a:off x="9298305"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53" name="Line 53">
          <a:extLst>
            <a:ext uri="{FF2B5EF4-FFF2-40B4-BE49-F238E27FC236}">
              <a16:creationId xmlns:a16="http://schemas.microsoft.com/office/drawing/2014/main" id="{469600FE-DB39-480E-B26D-E6E93D4CE07F}"/>
            </a:ext>
          </a:extLst>
        </xdr:cNvPr>
        <xdr:cNvSpPr>
          <a:spLocks noChangeShapeType="1"/>
        </xdr:cNvSpPr>
      </xdr:nvSpPr>
      <xdr:spPr bwMode="auto">
        <a:xfrm>
          <a:off x="12877800"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54" name="Line 54">
          <a:extLst>
            <a:ext uri="{FF2B5EF4-FFF2-40B4-BE49-F238E27FC236}">
              <a16:creationId xmlns:a16="http://schemas.microsoft.com/office/drawing/2014/main" id="{0DD27792-E9C5-4B38-AB67-04DE51C447ED}"/>
            </a:ext>
          </a:extLst>
        </xdr:cNvPr>
        <xdr:cNvSpPr>
          <a:spLocks noChangeShapeType="1"/>
        </xdr:cNvSpPr>
      </xdr:nvSpPr>
      <xdr:spPr bwMode="auto">
        <a:xfrm>
          <a:off x="9317355" y="0"/>
          <a:ext cx="356044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55" name="Line 55">
          <a:extLst>
            <a:ext uri="{FF2B5EF4-FFF2-40B4-BE49-F238E27FC236}">
              <a16:creationId xmlns:a16="http://schemas.microsoft.com/office/drawing/2014/main" id="{DD71FF93-E7FF-4D26-9AE0-3EA14F6DFA16}"/>
            </a:ext>
          </a:extLst>
        </xdr:cNvPr>
        <xdr:cNvSpPr>
          <a:spLocks noChangeShapeType="1"/>
        </xdr:cNvSpPr>
      </xdr:nvSpPr>
      <xdr:spPr bwMode="auto">
        <a:xfrm>
          <a:off x="1113282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6" name="Line 56">
          <a:extLst>
            <a:ext uri="{FF2B5EF4-FFF2-40B4-BE49-F238E27FC236}">
              <a16:creationId xmlns:a16="http://schemas.microsoft.com/office/drawing/2014/main" id="{7B31117A-6034-419C-BA19-7D96A4E56A52}"/>
            </a:ext>
          </a:extLst>
        </xdr:cNvPr>
        <xdr:cNvSpPr>
          <a:spLocks noChangeShapeType="1"/>
        </xdr:cNvSpPr>
      </xdr:nvSpPr>
      <xdr:spPr bwMode="auto">
        <a:xfrm>
          <a:off x="1786128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57" name="Line 57">
          <a:extLst>
            <a:ext uri="{FF2B5EF4-FFF2-40B4-BE49-F238E27FC236}">
              <a16:creationId xmlns:a16="http://schemas.microsoft.com/office/drawing/2014/main" id="{2304C444-0208-4D50-AA24-0B69FE7350CB}"/>
            </a:ext>
          </a:extLst>
        </xdr:cNvPr>
        <xdr:cNvSpPr>
          <a:spLocks noChangeShapeType="1"/>
        </xdr:cNvSpPr>
      </xdr:nvSpPr>
      <xdr:spPr bwMode="auto">
        <a:xfrm>
          <a:off x="204216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58" name="Line 58">
          <a:extLst>
            <a:ext uri="{FF2B5EF4-FFF2-40B4-BE49-F238E27FC236}">
              <a16:creationId xmlns:a16="http://schemas.microsoft.com/office/drawing/2014/main" id="{5B2EB921-1E78-4F69-9008-BAA24FEFE299}"/>
            </a:ext>
          </a:extLst>
        </xdr:cNvPr>
        <xdr:cNvSpPr>
          <a:spLocks noChangeShapeType="1"/>
        </xdr:cNvSpPr>
      </xdr:nvSpPr>
      <xdr:spPr bwMode="auto">
        <a:xfrm>
          <a:off x="2093976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59" name="Line 59">
          <a:extLst>
            <a:ext uri="{FF2B5EF4-FFF2-40B4-BE49-F238E27FC236}">
              <a16:creationId xmlns:a16="http://schemas.microsoft.com/office/drawing/2014/main" id="{B58BCF53-208B-4BF3-8F1E-BFE669F28F3F}"/>
            </a:ext>
          </a:extLst>
        </xdr:cNvPr>
        <xdr:cNvSpPr>
          <a:spLocks noChangeShapeType="1"/>
        </xdr:cNvSpPr>
      </xdr:nvSpPr>
      <xdr:spPr bwMode="auto">
        <a:xfrm>
          <a:off x="21183600"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60" name="Line 60">
          <a:extLst>
            <a:ext uri="{FF2B5EF4-FFF2-40B4-BE49-F238E27FC236}">
              <a16:creationId xmlns:a16="http://schemas.microsoft.com/office/drawing/2014/main" id="{1F2AD3C8-8C84-4980-BFB0-E25A0B87A79E}"/>
            </a:ext>
          </a:extLst>
        </xdr:cNvPr>
        <xdr:cNvSpPr>
          <a:spLocks noChangeShapeType="1"/>
        </xdr:cNvSpPr>
      </xdr:nvSpPr>
      <xdr:spPr bwMode="auto">
        <a:xfrm>
          <a:off x="688848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1" name="Line 61">
          <a:extLst>
            <a:ext uri="{FF2B5EF4-FFF2-40B4-BE49-F238E27FC236}">
              <a16:creationId xmlns:a16="http://schemas.microsoft.com/office/drawing/2014/main" id="{1723A5E8-B398-4BB0-9191-07A8BB070169}"/>
            </a:ext>
          </a:extLst>
        </xdr:cNvPr>
        <xdr:cNvSpPr>
          <a:spLocks noChangeShapeType="1"/>
        </xdr:cNvSpPr>
      </xdr:nvSpPr>
      <xdr:spPr bwMode="auto">
        <a:xfrm>
          <a:off x="20162520"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62" name="Line 62">
          <a:extLst>
            <a:ext uri="{FF2B5EF4-FFF2-40B4-BE49-F238E27FC236}">
              <a16:creationId xmlns:a16="http://schemas.microsoft.com/office/drawing/2014/main" id="{D19AE55B-02CB-4F62-8E4B-9849B2E057EB}"/>
            </a:ext>
          </a:extLst>
        </xdr:cNvPr>
        <xdr:cNvSpPr>
          <a:spLocks noChangeShapeType="1"/>
        </xdr:cNvSpPr>
      </xdr:nvSpPr>
      <xdr:spPr bwMode="auto">
        <a:xfrm>
          <a:off x="20400645"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63" name="Line 63">
          <a:extLst>
            <a:ext uri="{FF2B5EF4-FFF2-40B4-BE49-F238E27FC236}">
              <a16:creationId xmlns:a16="http://schemas.microsoft.com/office/drawing/2014/main" id="{6D971A9B-059B-4999-A442-416E30ABD5E0}"/>
            </a:ext>
          </a:extLst>
        </xdr:cNvPr>
        <xdr:cNvSpPr>
          <a:spLocks noChangeShapeType="1"/>
        </xdr:cNvSpPr>
      </xdr:nvSpPr>
      <xdr:spPr bwMode="auto">
        <a:xfrm>
          <a:off x="2362962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64" name="Line 64">
          <a:extLst>
            <a:ext uri="{FF2B5EF4-FFF2-40B4-BE49-F238E27FC236}">
              <a16:creationId xmlns:a16="http://schemas.microsoft.com/office/drawing/2014/main" id="{5152384C-B56B-4C78-8CBF-8B7CC85A8017}"/>
            </a:ext>
          </a:extLst>
        </xdr:cNvPr>
        <xdr:cNvSpPr>
          <a:spLocks noChangeShapeType="1"/>
        </xdr:cNvSpPr>
      </xdr:nvSpPr>
      <xdr:spPr bwMode="auto">
        <a:xfrm>
          <a:off x="2093976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65" name="Line 65">
          <a:extLst>
            <a:ext uri="{FF2B5EF4-FFF2-40B4-BE49-F238E27FC236}">
              <a16:creationId xmlns:a16="http://schemas.microsoft.com/office/drawing/2014/main" id="{4A09E013-72EF-47FF-A13D-772D10C39DD4}"/>
            </a:ext>
          </a:extLst>
        </xdr:cNvPr>
        <xdr:cNvSpPr>
          <a:spLocks noChangeShapeType="1"/>
        </xdr:cNvSpPr>
      </xdr:nvSpPr>
      <xdr:spPr bwMode="auto">
        <a:xfrm>
          <a:off x="2118360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66" name="Line 66">
          <a:extLst>
            <a:ext uri="{FF2B5EF4-FFF2-40B4-BE49-F238E27FC236}">
              <a16:creationId xmlns:a16="http://schemas.microsoft.com/office/drawing/2014/main" id="{A1D948D3-F4CE-4C16-BCCB-1223BCC490D7}"/>
            </a:ext>
          </a:extLst>
        </xdr:cNvPr>
        <xdr:cNvSpPr>
          <a:spLocks noChangeShapeType="1"/>
        </xdr:cNvSpPr>
      </xdr:nvSpPr>
      <xdr:spPr bwMode="auto">
        <a:xfrm>
          <a:off x="2263902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7" name="Line 67">
          <a:extLst>
            <a:ext uri="{FF2B5EF4-FFF2-40B4-BE49-F238E27FC236}">
              <a16:creationId xmlns:a16="http://schemas.microsoft.com/office/drawing/2014/main" id="{30C351F2-E50E-47B4-9A50-43C5C131BEEC}"/>
            </a:ext>
          </a:extLst>
        </xdr:cNvPr>
        <xdr:cNvSpPr>
          <a:spLocks noChangeShapeType="1"/>
        </xdr:cNvSpPr>
      </xdr:nvSpPr>
      <xdr:spPr bwMode="auto">
        <a:xfrm>
          <a:off x="2016252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8" name="Line 68">
          <a:extLst>
            <a:ext uri="{FF2B5EF4-FFF2-40B4-BE49-F238E27FC236}">
              <a16:creationId xmlns:a16="http://schemas.microsoft.com/office/drawing/2014/main" id="{D77C62BD-E596-4906-BD8D-9FF7BFCD1244}"/>
            </a:ext>
          </a:extLst>
        </xdr:cNvPr>
        <xdr:cNvSpPr>
          <a:spLocks noChangeShapeType="1"/>
        </xdr:cNvSpPr>
      </xdr:nvSpPr>
      <xdr:spPr bwMode="auto">
        <a:xfrm>
          <a:off x="20162520" y="0"/>
          <a:ext cx="0" cy="0"/>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69" name="Line 70">
          <a:extLst>
            <a:ext uri="{FF2B5EF4-FFF2-40B4-BE49-F238E27FC236}">
              <a16:creationId xmlns:a16="http://schemas.microsoft.com/office/drawing/2014/main" id="{270CB7C0-7400-46F8-9106-A1AA192A4D1B}"/>
            </a:ext>
          </a:extLst>
        </xdr:cNvPr>
        <xdr:cNvSpPr>
          <a:spLocks noChangeShapeType="1"/>
        </xdr:cNvSpPr>
      </xdr:nvSpPr>
      <xdr:spPr bwMode="auto">
        <a:xfrm>
          <a:off x="321945" y="3756660"/>
          <a:ext cx="18954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0" name="Line 71">
          <a:extLst>
            <a:ext uri="{FF2B5EF4-FFF2-40B4-BE49-F238E27FC236}">
              <a16:creationId xmlns:a16="http://schemas.microsoft.com/office/drawing/2014/main" id="{8FD28FC0-47E8-47F3-AF60-33635EDE468B}"/>
            </a:ext>
          </a:extLst>
        </xdr:cNvPr>
        <xdr:cNvSpPr>
          <a:spLocks noChangeShapeType="1"/>
        </xdr:cNvSpPr>
      </xdr:nvSpPr>
      <xdr:spPr bwMode="auto">
        <a:xfrm>
          <a:off x="312420" y="3756660"/>
          <a:ext cx="19050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1" name="Line 72">
          <a:extLst>
            <a:ext uri="{FF2B5EF4-FFF2-40B4-BE49-F238E27FC236}">
              <a16:creationId xmlns:a16="http://schemas.microsoft.com/office/drawing/2014/main" id="{79C4A8F7-4EDE-4F02-8D3C-185BBB6010AA}"/>
            </a:ext>
          </a:extLst>
        </xdr:cNvPr>
        <xdr:cNvSpPr>
          <a:spLocks noChangeShapeType="1"/>
        </xdr:cNvSpPr>
      </xdr:nvSpPr>
      <xdr:spPr bwMode="auto">
        <a:xfrm flipH="1">
          <a:off x="9525" y="3756660"/>
          <a:ext cx="312420" cy="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7</xdr:col>
          <xdr:colOff>247650</xdr:colOff>
          <xdr:row>0</xdr:row>
          <xdr:rowOff>200025</xdr:rowOff>
        </xdr:from>
        <xdr:to>
          <xdr:col>8</xdr:col>
          <xdr:colOff>1581150</xdr:colOff>
          <xdr:row>0</xdr:row>
          <xdr:rowOff>352425</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1400175</xdr:colOff>
          <xdr:row>0</xdr:row>
          <xdr:rowOff>581025</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1162050</xdr:colOff>
          <xdr:row>0</xdr:row>
          <xdr:rowOff>352425</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352425</xdr:rowOff>
        </xdr:from>
        <xdr:to>
          <xdr:col>9</xdr:col>
          <xdr:colOff>1419225</xdr:colOff>
          <xdr:row>1</xdr:row>
          <xdr:rowOff>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twoCellAnchor editAs="oneCell">
    <xdr:from>
      <xdr:col>13</xdr:col>
      <xdr:colOff>660400</xdr:colOff>
      <xdr:row>0</xdr:row>
      <xdr:rowOff>63501</xdr:rowOff>
    </xdr:from>
    <xdr:to>
      <xdr:col>13</xdr:col>
      <xdr:colOff>1202690</xdr:colOff>
      <xdr:row>0</xdr:row>
      <xdr:rowOff>513716</xdr:rowOff>
    </xdr:to>
    <xdr:pic>
      <xdr:nvPicPr>
        <xdr:cNvPr id="72" name="Picture 71" descr="QatarEnergy - Wikipedia">
          <a:extLst>
            <a:ext uri="{FF2B5EF4-FFF2-40B4-BE49-F238E27FC236}">
              <a16:creationId xmlns:a16="http://schemas.microsoft.com/office/drawing/2014/main" id="{290F8102-85C1-4320-A338-F2D21A9B647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03220" y="63501"/>
          <a:ext cx="542290" cy="4502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1148965</xdr:colOff>
      <xdr:row>31</xdr:row>
      <xdr:rowOff>98728</xdr:rowOff>
    </xdr:from>
    <xdr:to>
      <xdr:col>14</xdr:col>
      <xdr:colOff>95125</xdr:colOff>
      <xdr:row>35</xdr:row>
      <xdr:rowOff>372355</xdr:rowOff>
    </xdr:to>
    <xdr:pic>
      <xdr:nvPicPr>
        <xdr:cNvPr id="73" name="Picture 72">
          <a:extLst>
            <a:ext uri="{FF2B5EF4-FFF2-40B4-BE49-F238E27FC236}">
              <a16:creationId xmlns:a16="http://schemas.microsoft.com/office/drawing/2014/main" id="{066A0A44-BBC2-4E0F-9DA4-CA0E2C2513A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091785" y="12854608"/>
          <a:ext cx="1951705" cy="13632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247650</xdr:colOff>
          <xdr:row>0</xdr:row>
          <xdr:rowOff>200025</xdr:rowOff>
        </xdr:from>
        <xdr:to>
          <xdr:col>8</xdr:col>
          <xdr:colOff>1581150</xdr:colOff>
          <xdr:row>0</xdr:row>
          <xdr:rowOff>352425</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1400175</xdr:colOff>
          <xdr:row>0</xdr:row>
          <xdr:rowOff>581025</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1162050</xdr:colOff>
          <xdr:row>0</xdr:row>
          <xdr:rowOff>352425</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352425</xdr:rowOff>
        </xdr:from>
        <xdr:to>
          <xdr:col>9</xdr:col>
          <xdr:colOff>1419225</xdr:colOff>
          <xdr:row>1</xdr:row>
          <xdr:rowOff>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200025</xdr:rowOff>
        </xdr:from>
        <xdr:to>
          <xdr:col>8</xdr:col>
          <xdr:colOff>1581150</xdr:colOff>
          <xdr:row>0</xdr:row>
          <xdr:rowOff>342900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1400175</xdr:colOff>
          <xdr:row>0</xdr:row>
          <xdr:rowOff>581025</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1162050</xdr:colOff>
          <xdr:row>0</xdr:row>
          <xdr:rowOff>342900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352425</xdr:rowOff>
        </xdr:from>
        <xdr:to>
          <xdr:col>9</xdr:col>
          <xdr:colOff>1409700</xdr:colOff>
          <xdr:row>1</xdr:row>
          <xdr:rowOff>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200025</xdr:rowOff>
        </xdr:from>
        <xdr:to>
          <xdr:col>8</xdr:col>
          <xdr:colOff>1609725</xdr:colOff>
          <xdr:row>0</xdr:row>
          <xdr:rowOff>342900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3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1400175</xdr:colOff>
          <xdr:row>0</xdr:row>
          <xdr:rowOff>590550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1162050</xdr:colOff>
          <xdr:row>0</xdr:row>
          <xdr:rowOff>352425</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352425</xdr:rowOff>
        </xdr:from>
        <xdr:to>
          <xdr:col>9</xdr:col>
          <xdr:colOff>1409700</xdr:colOff>
          <xdr:row>0</xdr:row>
          <xdr:rowOff>590550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3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36ACEB80-85AC-41A6-9D0F-95FCE557CC9D}"/>
            </a:ext>
          </a:extLst>
        </xdr:cNvPr>
        <xdr:cNvSpPr>
          <a:spLocks noChangeShapeType="1"/>
        </xdr:cNvSpPr>
      </xdr:nvSpPr>
      <xdr:spPr bwMode="auto">
        <a:xfrm flipV="1">
          <a:off x="34671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3" name="Line 2">
          <a:extLst>
            <a:ext uri="{FF2B5EF4-FFF2-40B4-BE49-F238E27FC236}">
              <a16:creationId xmlns:a16="http://schemas.microsoft.com/office/drawing/2014/main" id="{DA68C343-3A69-46D6-AC2B-2EE23243C336}"/>
            </a:ext>
          </a:extLst>
        </xdr:cNvPr>
        <xdr:cNvSpPr>
          <a:spLocks noChangeShapeType="1"/>
        </xdr:cNvSpPr>
      </xdr:nvSpPr>
      <xdr:spPr bwMode="auto">
        <a:xfrm>
          <a:off x="337185" y="0"/>
          <a:ext cx="171259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4" name="Line 3">
          <a:extLst>
            <a:ext uri="{FF2B5EF4-FFF2-40B4-BE49-F238E27FC236}">
              <a16:creationId xmlns:a16="http://schemas.microsoft.com/office/drawing/2014/main" id="{2316CF93-7BAC-4EA1-97C9-5EA56611BC84}"/>
            </a:ext>
          </a:extLst>
        </xdr:cNvPr>
        <xdr:cNvSpPr>
          <a:spLocks noChangeShapeType="1"/>
        </xdr:cNvSpPr>
      </xdr:nvSpPr>
      <xdr:spPr bwMode="auto">
        <a:xfrm>
          <a:off x="327660" y="0"/>
          <a:ext cx="172212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 name="Line 4">
          <a:extLst>
            <a:ext uri="{FF2B5EF4-FFF2-40B4-BE49-F238E27FC236}">
              <a16:creationId xmlns:a16="http://schemas.microsoft.com/office/drawing/2014/main" id="{805F8496-B8FE-4553-B3BC-B42F974150D1}"/>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78E6E124-B2AC-456B-95CB-5CB3E92CBA40}"/>
            </a:ext>
          </a:extLst>
        </xdr:cNvPr>
        <xdr:cNvSpPr>
          <a:spLocks noChangeShapeType="1"/>
        </xdr:cNvSpPr>
      </xdr:nvSpPr>
      <xdr:spPr bwMode="auto">
        <a:xfrm flipH="1">
          <a:off x="9525" y="0"/>
          <a:ext cx="32766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7" name="Line 6">
          <a:extLst>
            <a:ext uri="{FF2B5EF4-FFF2-40B4-BE49-F238E27FC236}">
              <a16:creationId xmlns:a16="http://schemas.microsoft.com/office/drawing/2014/main" id="{72175F14-D2C7-420A-A1D1-FBB986107010}"/>
            </a:ext>
          </a:extLst>
        </xdr:cNvPr>
        <xdr:cNvSpPr>
          <a:spLocks noChangeShapeType="1"/>
        </xdr:cNvSpPr>
      </xdr:nvSpPr>
      <xdr:spPr bwMode="auto">
        <a:xfrm flipH="1">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8" name="Line 7">
          <a:extLst>
            <a:ext uri="{FF2B5EF4-FFF2-40B4-BE49-F238E27FC236}">
              <a16:creationId xmlns:a16="http://schemas.microsoft.com/office/drawing/2014/main" id="{5D8F31D0-A8C8-4166-AD81-DFD50C0B06FE}"/>
            </a:ext>
          </a:extLst>
        </xdr:cNvPr>
        <xdr:cNvSpPr>
          <a:spLocks noChangeShapeType="1"/>
        </xdr:cNvSpPr>
      </xdr:nvSpPr>
      <xdr:spPr bwMode="auto">
        <a:xfrm flipV="1">
          <a:off x="2049780" y="0"/>
          <a:ext cx="0"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78740E99-E056-4989-A0FB-30C92FBCC46E}"/>
            </a:ext>
          </a:extLst>
        </xdr:cNvPr>
        <xdr:cNvSpPr>
          <a:spLocks noChangeShapeType="1"/>
        </xdr:cNvSpPr>
      </xdr:nvSpPr>
      <xdr:spPr bwMode="auto">
        <a:xfrm>
          <a:off x="32766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 name="Line 9">
          <a:extLst>
            <a:ext uri="{FF2B5EF4-FFF2-40B4-BE49-F238E27FC236}">
              <a16:creationId xmlns:a16="http://schemas.microsoft.com/office/drawing/2014/main" id="{CE602DAA-9F3E-4FB0-B0D1-DC273D0088BF}"/>
            </a:ext>
          </a:extLst>
        </xdr:cNvPr>
        <xdr:cNvSpPr>
          <a:spLocks noChangeShapeType="1"/>
        </xdr:cNvSpPr>
      </xdr:nvSpPr>
      <xdr:spPr bwMode="auto">
        <a:xfrm flipV="1">
          <a:off x="204978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7</xdr:col>
      <xdr:colOff>161925</xdr:colOff>
      <xdr:row>0</xdr:row>
      <xdr:rowOff>0</xdr:rowOff>
    </xdr:to>
    <xdr:sp macro="" textlink="">
      <xdr:nvSpPr>
        <xdr:cNvPr id="11" name="Line 10">
          <a:extLst>
            <a:ext uri="{FF2B5EF4-FFF2-40B4-BE49-F238E27FC236}">
              <a16:creationId xmlns:a16="http://schemas.microsoft.com/office/drawing/2014/main" id="{732FFA15-BB3D-4EDA-8C7B-79E5E3025A3D}"/>
            </a:ext>
          </a:extLst>
        </xdr:cNvPr>
        <xdr:cNvSpPr>
          <a:spLocks noChangeShapeType="1"/>
        </xdr:cNvSpPr>
      </xdr:nvSpPr>
      <xdr:spPr bwMode="auto">
        <a:xfrm>
          <a:off x="0" y="0"/>
          <a:ext cx="257746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13</xdr:col>
      <xdr:colOff>0</xdr:colOff>
      <xdr:row>0</xdr:row>
      <xdr:rowOff>0</xdr:rowOff>
    </xdr:to>
    <xdr:sp macro="" textlink="">
      <xdr:nvSpPr>
        <xdr:cNvPr id="12" name="Line 11">
          <a:extLst>
            <a:ext uri="{FF2B5EF4-FFF2-40B4-BE49-F238E27FC236}">
              <a16:creationId xmlns:a16="http://schemas.microsoft.com/office/drawing/2014/main" id="{C0756525-84CB-4B19-86E1-F706447A64FF}"/>
            </a:ext>
          </a:extLst>
        </xdr:cNvPr>
        <xdr:cNvSpPr>
          <a:spLocks noChangeShapeType="1"/>
        </xdr:cNvSpPr>
      </xdr:nvSpPr>
      <xdr:spPr bwMode="auto">
        <a:xfrm flipH="1">
          <a:off x="19050" y="0"/>
          <a:ext cx="622935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3" name="Line 13">
          <a:extLst>
            <a:ext uri="{FF2B5EF4-FFF2-40B4-BE49-F238E27FC236}">
              <a16:creationId xmlns:a16="http://schemas.microsoft.com/office/drawing/2014/main" id="{C8F75657-ADF8-40FD-8C81-8F94494186BF}"/>
            </a:ext>
          </a:extLst>
        </xdr:cNvPr>
        <xdr:cNvSpPr>
          <a:spLocks noChangeShapeType="1"/>
        </xdr:cNvSpPr>
      </xdr:nvSpPr>
      <xdr:spPr bwMode="auto">
        <a:xfrm flipH="1" flipV="1">
          <a:off x="204978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4" name="Line 14">
          <a:extLst>
            <a:ext uri="{FF2B5EF4-FFF2-40B4-BE49-F238E27FC236}">
              <a16:creationId xmlns:a16="http://schemas.microsoft.com/office/drawing/2014/main" id="{DC3770FD-5068-4B7C-A5F1-19A6EA46EE2D}"/>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13</xdr:col>
      <xdr:colOff>0</xdr:colOff>
      <xdr:row>0</xdr:row>
      <xdr:rowOff>0</xdr:rowOff>
    </xdr:from>
    <xdr:to>
      <xdr:col>13</xdr:col>
      <xdr:colOff>0</xdr:colOff>
      <xdr:row>0</xdr:row>
      <xdr:rowOff>0</xdr:rowOff>
    </xdr:to>
    <xdr:sp macro="" textlink="">
      <xdr:nvSpPr>
        <xdr:cNvPr id="15" name="Line 16">
          <a:extLst>
            <a:ext uri="{FF2B5EF4-FFF2-40B4-BE49-F238E27FC236}">
              <a16:creationId xmlns:a16="http://schemas.microsoft.com/office/drawing/2014/main" id="{8D13395A-CBBD-469F-9438-208947E45EF0}"/>
            </a:ext>
          </a:extLst>
        </xdr:cNvPr>
        <xdr:cNvSpPr>
          <a:spLocks noChangeShapeType="1"/>
        </xdr:cNvSpPr>
      </xdr:nvSpPr>
      <xdr:spPr bwMode="auto">
        <a:xfrm flipH="1" flipV="1">
          <a:off x="62484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6" name="Line 18">
          <a:extLst>
            <a:ext uri="{FF2B5EF4-FFF2-40B4-BE49-F238E27FC236}">
              <a16:creationId xmlns:a16="http://schemas.microsoft.com/office/drawing/2014/main" id="{4814FD0B-D847-47B7-BAF1-0FF77FEBB2C4}"/>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8</xdr:col>
      <xdr:colOff>19050</xdr:colOff>
      <xdr:row>0</xdr:row>
      <xdr:rowOff>0</xdr:rowOff>
    </xdr:to>
    <xdr:sp macro="" textlink="">
      <xdr:nvSpPr>
        <xdr:cNvPr id="17" name="Line 19">
          <a:extLst>
            <a:ext uri="{FF2B5EF4-FFF2-40B4-BE49-F238E27FC236}">
              <a16:creationId xmlns:a16="http://schemas.microsoft.com/office/drawing/2014/main" id="{B12AD6A0-0631-4B6E-95BE-7BEB0C9BC2FF}"/>
            </a:ext>
          </a:extLst>
        </xdr:cNvPr>
        <xdr:cNvSpPr>
          <a:spLocks noChangeShapeType="1"/>
        </xdr:cNvSpPr>
      </xdr:nvSpPr>
      <xdr:spPr bwMode="auto">
        <a:xfrm>
          <a:off x="2049780" y="0"/>
          <a:ext cx="63627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12</xdr:col>
      <xdr:colOff>0</xdr:colOff>
      <xdr:row>0</xdr:row>
      <xdr:rowOff>0</xdr:rowOff>
    </xdr:to>
    <xdr:sp macro="" textlink="">
      <xdr:nvSpPr>
        <xdr:cNvPr id="18" name="Line 20">
          <a:extLst>
            <a:ext uri="{FF2B5EF4-FFF2-40B4-BE49-F238E27FC236}">
              <a16:creationId xmlns:a16="http://schemas.microsoft.com/office/drawing/2014/main" id="{A6EB6B12-8512-4506-970A-20573BC0C411}"/>
            </a:ext>
          </a:extLst>
        </xdr:cNvPr>
        <xdr:cNvSpPr>
          <a:spLocks noChangeShapeType="1"/>
        </xdr:cNvSpPr>
      </xdr:nvSpPr>
      <xdr:spPr bwMode="auto">
        <a:xfrm>
          <a:off x="2049780" y="0"/>
          <a:ext cx="224028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9" name="Line 22">
          <a:extLst>
            <a:ext uri="{FF2B5EF4-FFF2-40B4-BE49-F238E27FC236}">
              <a16:creationId xmlns:a16="http://schemas.microsoft.com/office/drawing/2014/main" id="{8B270079-EF6B-4CE1-990F-4DBF150DBF75}"/>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0" name="Line 23">
          <a:extLst>
            <a:ext uri="{FF2B5EF4-FFF2-40B4-BE49-F238E27FC236}">
              <a16:creationId xmlns:a16="http://schemas.microsoft.com/office/drawing/2014/main" id="{932B1CCA-AEB8-47B8-82EC-FD4E8FEE5062}"/>
            </a:ext>
          </a:extLst>
        </xdr:cNvPr>
        <xdr:cNvSpPr>
          <a:spLocks noChangeShapeType="1"/>
        </xdr:cNvSpPr>
      </xdr:nvSpPr>
      <xdr:spPr bwMode="auto">
        <a:xfrm flipV="1">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1" name="Line 24">
          <a:extLst>
            <a:ext uri="{FF2B5EF4-FFF2-40B4-BE49-F238E27FC236}">
              <a16:creationId xmlns:a16="http://schemas.microsoft.com/office/drawing/2014/main" id="{42EE6E93-833A-4626-B388-9F36110241F5}"/>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7</xdr:col>
      <xdr:colOff>238125</xdr:colOff>
      <xdr:row>0</xdr:row>
      <xdr:rowOff>0</xdr:rowOff>
    </xdr:from>
    <xdr:to>
      <xdr:col>7</xdr:col>
      <xdr:colOff>238125</xdr:colOff>
      <xdr:row>0</xdr:row>
      <xdr:rowOff>0</xdr:rowOff>
    </xdr:to>
    <xdr:sp macro="" textlink="">
      <xdr:nvSpPr>
        <xdr:cNvPr id="22" name="Line 25">
          <a:extLst>
            <a:ext uri="{FF2B5EF4-FFF2-40B4-BE49-F238E27FC236}">
              <a16:creationId xmlns:a16="http://schemas.microsoft.com/office/drawing/2014/main" id="{9317FB87-FDAA-4BFA-83D1-6334CD92343B}"/>
            </a:ext>
          </a:extLst>
        </xdr:cNvPr>
        <xdr:cNvSpPr>
          <a:spLocks noChangeShapeType="1"/>
        </xdr:cNvSpPr>
      </xdr:nvSpPr>
      <xdr:spPr bwMode="auto">
        <a:xfrm>
          <a:off x="2653665" y="0"/>
          <a:ext cx="0" cy="0"/>
        </a:xfrm>
        <a:prstGeom prst="line">
          <a:avLst/>
        </a:prstGeom>
        <a:noFill/>
        <a:ln w="9525">
          <a:solidFill>
            <a:srgbClr val="000000"/>
          </a:solidFill>
          <a:round/>
          <a:headEnd/>
          <a:tailEnd/>
        </a:ln>
      </xdr:spPr>
    </xdr:sp>
    <xdr:clientData/>
  </xdr:twoCellAnchor>
  <xdr:twoCellAnchor>
    <xdr:from>
      <xdr:col>7</xdr:col>
      <xdr:colOff>66675</xdr:colOff>
      <xdr:row>0</xdr:row>
      <xdr:rowOff>0</xdr:rowOff>
    </xdr:from>
    <xdr:to>
      <xdr:col>12</xdr:col>
      <xdr:colOff>9525</xdr:colOff>
      <xdr:row>0</xdr:row>
      <xdr:rowOff>0</xdr:rowOff>
    </xdr:to>
    <xdr:sp macro="" textlink="">
      <xdr:nvSpPr>
        <xdr:cNvPr id="23" name="Line 26">
          <a:extLst>
            <a:ext uri="{FF2B5EF4-FFF2-40B4-BE49-F238E27FC236}">
              <a16:creationId xmlns:a16="http://schemas.microsoft.com/office/drawing/2014/main" id="{C2D22C22-280D-4B7A-B2F5-A005A76282F4}"/>
            </a:ext>
          </a:extLst>
        </xdr:cNvPr>
        <xdr:cNvSpPr>
          <a:spLocks noChangeShapeType="1"/>
        </xdr:cNvSpPr>
      </xdr:nvSpPr>
      <xdr:spPr bwMode="auto">
        <a:xfrm>
          <a:off x="2482215" y="0"/>
          <a:ext cx="181737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8</xdr:col>
      <xdr:colOff>19050</xdr:colOff>
      <xdr:row>0</xdr:row>
      <xdr:rowOff>0</xdr:rowOff>
    </xdr:to>
    <xdr:sp macro="" textlink="">
      <xdr:nvSpPr>
        <xdr:cNvPr id="24" name="Line 27">
          <a:extLst>
            <a:ext uri="{FF2B5EF4-FFF2-40B4-BE49-F238E27FC236}">
              <a16:creationId xmlns:a16="http://schemas.microsoft.com/office/drawing/2014/main" id="{32B42265-9084-488C-94B7-159FAE4ED912}"/>
            </a:ext>
          </a:extLst>
        </xdr:cNvPr>
        <xdr:cNvSpPr>
          <a:spLocks noChangeShapeType="1"/>
        </xdr:cNvSpPr>
      </xdr:nvSpPr>
      <xdr:spPr bwMode="auto">
        <a:xfrm>
          <a:off x="2049780" y="0"/>
          <a:ext cx="63627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5" name="Line 28">
          <a:extLst>
            <a:ext uri="{FF2B5EF4-FFF2-40B4-BE49-F238E27FC236}">
              <a16:creationId xmlns:a16="http://schemas.microsoft.com/office/drawing/2014/main" id="{4C62E1E0-BF1B-43CD-A3F0-D803E277EA81}"/>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6" name="Line 29">
          <a:extLst>
            <a:ext uri="{FF2B5EF4-FFF2-40B4-BE49-F238E27FC236}">
              <a16:creationId xmlns:a16="http://schemas.microsoft.com/office/drawing/2014/main" id="{41DE7512-FD44-43A9-8AEA-0C5E80747760}"/>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13</xdr:col>
      <xdr:colOff>0</xdr:colOff>
      <xdr:row>0</xdr:row>
      <xdr:rowOff>0</xdr:rowOff>
    </xdr:to>
    <xdr:sp macro="" textlink="">
      <xdr:nvSpPr>
        <xdr:cNvPr id="27" name="Line 30">
          <a:extLst>
            <a:ext uri="{FF2B5EF4-FFF2-40B4-BE49-F238E27FC236}">
              <a16:creationId xmlns:a16="http://schemas.microsoft.com/office/drawing/2014/main" id="{8361850B-A90B-4AF8-9168-AC7549D5DB85}"/>
            </a:ext>
          </a:extLst>
        </xdr:cNvPr>
        <xdr:cNvSpPr>
          <a:spLocks noChangeShapeType="1"/>
        </xdr:cNvSpPr>
      </xdr:nvSpPr>
      <xdr:spPr bwMode="auto">
        <a:xfrm>
          <a:off x="3421380" y="0"/>
          <a:ext cx="282702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28" name="Line 31">
          <a:extLst>
            <a:ext uri="{FF2B5EF4-FFF2-40B4-BE49-F238E27FC236}">
              <a16:creationId xmlns:a16="http://schemas.microsoft.com/office/drawing/2014/main" id="{7821C07C-B736-40A4-B625-E83B9015D6FB}"/>
            </a:ext>
          </a:extLst>
        </xdr:cNvPr>
        <xdr:cNvSpPr>
          <a:spLocks noChangeShapeType="1"/>
        </xdr:cNvSpPr>
      </xdr:nvSpPr>
      <xdr:spPr bwMode="auto">
        <a:xfrm>
          <a:off x="241554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13</xdr:col>
      <xdr:colOff>0</xdr:colOff>
      <xdr:row>0</xdr:row>
      <xdr:rowOff>0</xdr:rowOff>
    </xdr:to>
    <xdr:sp macro="" textlink="">
      <xdr:nvSpPr>
        <xdr:cNvPr id="29" name="Line 32">
          <a:extLst>
            <a:ext uri="{FF2B5EF4-FFF2-40B4-BE49-F238E27FC236}">
              <a16:creationId xmlns:a16="http://schemas.microsoft.com/office/drawing/2014/main" id="{37E34CB5-8218-4A2A-913B-6727E051EA09}"/>
            </a:ext>
          </a:extLst>
        </xdr:cNvPr>
        <xdr:cNvSpPr>
          <a:spLocks noChangeShapeType="1"/>
        </xdr:cNvSpPr>
      </xdr:nvSpPr>
      <xdr:spPr bwMode="auto">
        <a:xfrm>
          <a:off x="2415540" y="0"/>
          <a:ext cx="383286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13</xdr:col>
      <xdr:colOff>0</xdr:colOff>
      <xdr:row>0</xdr:row>
      <xdr:rowOff>0</xdr:rowOff>
    </xdr:to>
    <xdr:sp macro="" textlink="">
      <xdr:nvSpPr>
        <xdr:cNvPr id="30" name="Line 33">
          <a:extLst>
            <a:ext uri="{FF2B5EF4-FFF2-40B4-BE49-F238E27FC236}">
              <a16:creationId xmlns:a16="http://schemas.microsoft.com/office/drawing/2014/main" id="{9DED31E6-152F-4B8F-8892-6CFC53C02C66}"/>
            </a:ext>
          </a:extLst>
        </xdr:cNvPr>
        <xdr:cNvSpPr>
          <a:spLocks noChangeShapeType="1"/>
        </xdr:cNvSpPr>
      </xdr:nvSpPr>
      <xdr:spPr bwMode="auto">
        <a:xfrm>
          <a:off x="2415540" y="0"/>
          <a:ext cx="383286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13</xdr:col>
      <xdr:colOff>0</xdr:colOff>
      <xdr:row>0</xdr:row>
      <xdr:rowOff>0</xdr:rowOff>
    </xdr:to>
    <xdr:sp macro="" textlink="">
      <xdr:nvSpPr>
        <xdr:cNvPr id="31" name="Line 34">
          <a:extLst>
            <a:ext uri="{FF2B5EF4-FFF2-40B4-BE49-F238E27FC236}">
              <a16:creationId xmlns:a16="http://schemas.microsoft.com/office/drawing/2014/main" id="{E2868E57-4678-4ACF-BFF4-1BE1639E56C3}"/>
            </a:ext>
          </a:extLst>
        </xdr:cNvPr>
        <xdr:cNvSpPr>
          <a:spLocks noChangeShapeType="1"/>
        </xdr:cNvSpPr>
      </xdr:nvSpPr>
      <xdr:spPr bwMode="auto">
        <a:xfrm>
          <a:off x="2415540" y="0"/>
          <a:ext cx="383286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13</xdr:col>
      <xdr:colOff>0</xdr:colOff>
      <xdr:row>0</xdr:row>
      <xdr:rowOff>0</xdr:rowOff>
    </xdr:to>
    <xdr:sp macro="" textlink="">
      <xdr:nvSpPr>
        <xdr:cNvPr id="32" name="Line 35">
          <a:extLst>
            <a:ext uri="{FF2B5EF4-FFF2-40B4-BE49-F238E27FC236}">
              <a16:creationId xmlns:a16="http://schemas.microsoft.com/office/drawing/2014/main" id="{B96883DA-ED96-45C7-8631-ADD5A7B3F3D7}"/>
            </a:ext>
          </a:extLst>
        </xdr:cNvPr>
        <xdr:cNvSpPr>
          <a:spLocks noChangeShapeType="1"/>
        </xdr:cNvSpPr>
      </xdr:nvSpPr>
      <xdr:spPr bwMode="auto">
        <a:xfrm>
          <a:off x="2415540" y="0"/>
          <a:ext cx="3832860" cy="0"/>
        </a:xfrm>
        <a:prstGeom prst="line">
          <a:avLst/>
        </a:prstGeom>
        <a:noFill/>
        <a:ln w="9525">
          <a:solidFill>
            <a:srgbClr val="000000"/>
          </a:solidFill>
          <a:round/>
          <a:headEnd/>
          <a:tailEnd/>
        </a:ln>
      </xdr:spPr>
    </xdr:sp>
    <xdr:clientData/>
  </xdr:twoCellAnchor>
  <xdr:twoCellAnchor>
    <xdr:from>
      <xdr:col>7</xdr:col>
      <xdr:colOff>9525</xdr:colOff>
      <xdr:row>0</xdr:row>
      <xdr:rowOff>0</xdr:rowOff>
    </xdr:from>
    <xdr:to>
      <xdr:col>13</xdr:col>
      <xdr:colOff>0</xdr:colOff>
      <xdr:row>0</xdr:row>
      <xdr:rowOff>0</xdr:rowOff>
    </xdr:to>
    <xdr:sp macro="" textlink="">
      <xdr:nvSpPr>
        <xdr:cNvPr id="33" name="Line 36">
          <a:extLst>
            <a:ext uri="{FF2B5EF4-FFF2-40B4-BE49-F238E27FC236}">
              <a16:creationId xmlns:a16="http://schemas.microsoft.com/office/drawing/2014/main" id="{F64627D8-6B5A-47D5-A835-503947959408}"/>
            </a:ext>
          </a:extLst>
        </xdr:cNvPr>
        <xdr:cNvSpPr>
          <a:spLocks noChangeShapeType="1"/>
        </xdr:cNvSpPr>
      </xdr:nvSpPr>
      <xdr:spPr bwMode="auto">
        <a:xfrm>
          <a:off x="2425065" y="0"/>
          <a:ext cx="3823335" cy="0"/>
        </a:xfrm>
        <a:prstGeom prst="line">
          <a:avLst/>
        </a:prstGeom>
        <a:noFill/>
        <a:ln w="9525">
          <a:solidFill>
            <a:srgbClr val="000000"/>
          </a:solidFill>
          <a:round/>
          <a:headEnd/>
          <a:tailEnd/>
        </a:ln>
      </xdr:spPr>
    </xdr:sp>
    <xdr:clientData/>
  </xdr:twoCellAnchor>
  <xdr:twoCellAnchor>
    <xdr:from>
      <xdr:col>9</xdr:col>
      <xdr:colOff>9525</xdr:colOff>
      <xdr:row>0</xdr:row>
      <xdr:rowOff>0</xdr:rowOff>
    </xdr:from>
    <xdr:to>
      <xdr:col>9</xdr:col>
      <xdr:colOff>9525</xdr:colOff>
      <xdr:row>0</xdr:row>
      <xdr:rowOff>0</xdr:rowOff>
    </xdr:to>
    <xdr:sp macro="" textlink="">
      <xdr:nvSpPr>
        <xdr:cNvPr id="34" name="Line 37">
          <a:extLst>
            <a:ext uri="{FF2B5EF4-FFF2-40B4-BE49-F238E27FC236}">
              <a16:creationId xmlns:a16="http://schemas.microsoft.com/office/drawing/2014/main" id="{A11F8756-800A-4808-B276-40766919BB36}"/>
            </a:ext>
          </a:extLst>
        </xdr:cNvPr>
        <xdr:cNvSpPr>
          <a:spLocks noChangeShapeType="1"/>
        </xdr:cNvSpPr>
      </xdr:nvSpPr>
      <xdr:spPr bwMode="auto">
        <a:xfrm>
          <a:off x="2927985" y="0"/>
          <a:ext cx="0" cy="0"/>
        </a:xfrm>
        <a:prstGeom prst="line">
          <a:avLst/>
        </a:prstGeom>
        <a:noFill/>
        <a:ln w="9525">
          <a:solidFill>
            <a:srgbClr val="000000"/>
          </a:solidFill>
          <a:round/>
          <a:headEnd/>
          <a:tailEnd/>
        </a:ln>
      </xdr:spPr>
    </xdr:sp>
    <xdr:clientData/>
  </xdr:twoCellAnchor>
  <xdr:twoCellAnchor>
    <xdr:from>
      <xdr:col>11</xdr:col>
      <xdr:colOff>400050</xdr:colOff>
      <xdr:row>0</xdr:row>
      <xdr:rowOff>0</xdr:rowOff>
    </xdr:from>
    <xdr:to>
      <xdr:col>11</xdr:col>
      <xdr:colOff>409575</xdr:colOff>
      <xdr:row>0</xdr:row>
      <xdr:rowOff>0</xdr:rowOff>
    </xdr:to>
    <xdr:sp macro="" textlink="">
      <xdr:nvSpPr>
        <xdr:cNvPr id="35" name="Line 38">
          <a:extLst>
            <a:ext uri="{FF2B5EF4-FFF2-40B4-BE49-F238E27FC236}">
              <a16:creationId xmlns:a16="http://schemas.microsoft.com/office/drawing/2014/main" id="{30646F42-31BA-45F7-B4A4-1EA5867B691D}"/>
            </a:ext>
          </a:extLst>
        </xdr:cNvPr>
        <xdr:cNvSpPr>
          <a:spLocks noChangeShapeType="1"/>
        </xdr:cNvSpPr>
      </xdr:nvSpPr>
      <xdr:spPr bwMode="auto">
        <a:xfrm flipH="1">
          <a:off x="3821430" y="0"/>
          <a:ext cx="9525" cy="0"/>
        </a:xfrm>
        <a:prstGeom prst="line">
          <a:avLst/>
        </a:prstGeom>
        <a:noFill/>
        <a:ln w="9525">
          <a:solidFill>
            <a:srgbClr val="000000"/>
          </a:solidFill>
          <a:round/>
          <a:headEnd/>
          <a:tailEnd/>
        </a:ln>
      </xdr:spPr>
    </xdr:sp>
    <xdr:clientData/>
  </xdr:twoCellAnchor>
  <xdr:twoCellAnchor>
    <xdr:from>
      <xdr:col>11</xdr:col>
      <xdr:colOff>400050</xdr:colOff>
      <xdr:row>0</xdr:row>
      <xdr:rowOff>0</xdr:rowOff>
    </xdr:from>
    <xdr:to>
      <xdr:col>11</xdr:col>
      <xdr:colOff>400050</xdr:colOff>
      <xdr:row>0</xdr:row>
      <xdr:rowOff>0</xdr:rowOff>
    </xdr:to>
    <xdr:sp macro="" textlink="">
      <xdr:nvSpPr>
        <xdr:cNvPr id="36" name="Line 39">
          <a:extLst>
            <a:ext uri="{FF2B5EF4-FFF2-40B4-BE49-F238E27FC236}">
              <a16:creationId xmlns:a16="http://schemas.microsoft.com/office/drawing/2014/main" id="{BD4F0CD8-90C4-4733-8607-1FEB6BA4B695}"/>
            </a:ext>
          </a:extLst>
        </xdr:cNvPr>
        <xdr:cNvSpPr>
          <a:spLocks noChangeShapeType="1"/>
        </xdr:cNvSpPr>
      </xdr:nvSpPr>
      <xdr:spPr bwMode="auto">
        <a:xfrm flipV="1">
          <a:off x="3821430" y="0"/>
          <a:ext cx="0" cy="0"/>
        </a:xfrm>
        <a:prstGeom prst="line">
          <a:avLst/>
        </a:prstGeom>
        <a:noFill/>
        <a:ln w="9525">
          <a:solidFill>
            <a:srgbClr val="000000"/>
          </a:solidFill>
          <a:round/>
          <a:headEnd/>
          <a:tailEnd/>
        </a:ln>
      </xdr:spPr>
    </xdr:sp>
    <xdr:clientData/>
  </xdr:twoCellAnchor>
  <xdr:twoCellAnchor>
    <xdr:from>
      <xdr:col>11</xdr:col>
      <xdr:colOff>400050</xdr:colOff>
      <xdr:row>0</xdr:row>
      <xdr:rowOff>0</xdr:rowOff>
    </xdr:from>
    <xdr:to>
      <xdr:col>11</xdr:col>
      <xdr:colOff>400050</xdr:colOff>
      <xdr:row>0</xdr:row>
      <xdr:rowOff>0</xdr:rowOff>
    </xdr:to>
    <xdr:sp macro="" textlink="">
      <xdr:nvSpPr>
        <xdr:cNvPr id="37" name="Line 40">
          <a:extLst>
            <a:ext uri="{FF2B5EF4-FFF2-40B4-BE49-F238E27FC236}">
              <a16:creationId xmlns:a16="http://schemas.microsoft.com/office/drawing/2014/main" id="{F8F4155E-9C38-41FE-8E18-FC605A08C677}"/>
            </a:ext>
          </a:extLst>
        </xdr:cNvPr>
        <xdr:cNvSpPr>
          <a:spLocks noChangeShapeType="1"/>
        </xdr:cNvSpPr>
      </xdr:nvSpPr>
      <xdr:spPr bwMode="auto">
        <a:xfrm>
          <a:off x="3821430" y="0"/>
          <a:ext cx="0" cy="0"/>
        </a:xfrm>
        <a:prstGeom prst="line">
          <a:avLst/>
        </a:prstGeom>
        <a:noFill/>
        <a:ln w="9525">
          <a:solidFill>
            <a:srgbClr val="000000"/>
          </a:solidFill>
          <a:round/>
          <a:headEnd/>
          <a:tailEnd/>
        </a:ln>
      </xdr:spPr>
    </xdr:sp>
    <xdr:clientData/>
  </xdr:twoCellAnchor>
  <xdr:twoCellAnchor>
    <xdr:from>
      <xdr:col>10</xdr:col>
      <xdr:colOff>228600</xdr:colOff>
      <xdr:row>0</xdr:row>
      <xdr:rowOff>0</xdr:rowOff>
    </xdr:from>
    <xdr:to>
      <xdr:col>10</xdr:col>
      <xdr:colOff>228600</xdr:colOff>
      <xdr:row>0</xdr:row>
      <xdr:rowOff>0</xdr:rowOff>
    </xdr:to>
    <xdr:sp macro="" textlink="">
      <xdr:nvSpPr>
        <xdr:cNvPr id="38" name="Line 41">
          <a:extLst>
            <a:ext uri="{FF2B5EF4-FFF2-40B4-BE49-F238E27FC236}">
              <a16:creationId xmlns:a16="http://schemas.microsoft.com/office/drawing/2014/main" id="{EABA1E9E-BBFD-4539-8A9C-A932527F52AC}"/>
            </a:ext>
          </a:extLst>
        </xdr:cNvPr>
        <xdr:cNvSpPr>
          <a:spLocks noChangeShapeType="1"/>
        </xdr:cNvSpPr>
      </xdr:nvSpPr>
      <xdr:spPr bwMode="auto">
        <a:xfrm>
          <a:off x="3398520" y="0"/>
          <a:ext cx="0" cy="0"/>
        </a:xfrm>
        <a:prstGeom prst="line">
          <a:avLst/>
        </a:prstGeom>
        <a:noFill/>
        <a:ln w="9525">
          <a:solidFill>
            <a:srgbClr val="000000"/>
          </a:solidFill>
          <a:round/>
          <a:headEnd/>
          <a:tailEnd/>
        </a:ln>
      </xdr:spPr>
    </xdr:sp>
    <xdr:clientData/>
  </xdr:twoCellAnchor>
  <xdr:twoCellAnchor>
    <xdr:from>
      <xdr:col>11</xdr:col>
      <xdr:colOff>847725</xdr:colOff>
      <xdr:row>0</xdr:row>
      <xdr:rowOff>0</xdr:rowOff>
    </xdr:from>
    <xdr:to>
      <xdr:col>11</xdr:col>
      <xdr:colOff>847725</xdr:colOff>
      <xdr:row>0</xdr:row>
      <xdr:rowOff>0</xdr:rowOff>
    </xdr:to>
    <xdr:sp macro="" textlink="">
      <xdr:nvSpPr>
        <xdr:cNvPr id="39" name="Line 42">
          <a:extLst>
            <a:ext uri="{FF2B5EF4-FFF2-40B4-BE49-F238E27FC236}">
              <a16:creationId xmlns:a16="http://schemas.microsoft.com/office/drawing/2014/main" id="{DA6D4E88-893F-43EA-BA3C-E0D25B809A49}"/>
            </a:ext>
          </a:extLst>
        </xdr:cNvPr>
        <xdr:cNvSpPr>
          <a:spLocks noChangeShapeType="1"/>
        </xdr:cNvSpPr>
      </xdr:nvSpPr>
      <xdr:spPr bwMode="auto">
        <a:xfrm>
          <a:off x="4269105"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40" name="Line 43">
          <a:extLst>
            <a:ext uri="{FF2B5EF4-FFF2-40B4-BE49-F238E27FC236}">
              <a16:creationId xmlns:a16="http://schemas.microsoft.com/office/drawing/2014/main" id="{7A5DAFEA-CD83-4491-8FFF-711D00C22070}"/>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41" name="Line 44">
          <a:extLst>
            <a:ext uri="{FF2B5EF4-FFF2-40B4-BE49-F238E27FC236}">
              <a16:creationId xmlns:a16="http://schemas.microsoft.com/office/drawing/2014/main" id="{74E9109F-BD85-493C-A682-0FA597AFB651}"/>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42" name="Line 45">
          <a:extLst>
            <a:ext uri="{FF2B5EF4-FFF2-40B4-BE49-F238E27FC236}">
              <a16:creationId xmlns:a16="http://schemas.microsoft.com/office/drawing/2014/main" id="{1CE028EF-A701-4254-A74A-F1C67508A7CA}"/>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43" name="Line 46">
          <a:extLst>
            <a:ext uri="{FF2B5EF4-FFF2-40B4-BE49-F238E27FC236}">
              <a16:creationId xmlns:a16="http://schemas.microsoft.com/office/drawing/2014/main" id="{51D7A1A8-C37E-45B0-9A79-79A0F3BEFB2D}"/>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44" name="Line 47">
          <a:extLst>
            <a:ext uri="{FF2B5EF4-FFF2-40B4-BE49-F238E27FC236}">
              <a16:creationId xmlns:a16="http://schemas.microsoft.com/office/drawing/2014/main" id="{29B3C993-5B81-453C-B705-69C4F86A587B}"/>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5" name="Line 48">
          <a:extLst>
            <a:ext uri="{FF2B5EF4-FFF2-40B4-BE49-F238E27FC236}">
              <a16:creationId xmlns:a16="http://schemas.microsoft.com/office/drawing/2014/main" id="{D029D32B-7681-4A98-81C0-FA0643B90F81}"/>
            </a:ext>
          </a:extLst>
        </xdr:cNvPr>
        <xdr:cNvSpPr>
          <a:spLocks noChangeShapeType="1"/>
        </xdr:cNvSpPr>
      </xdr:nvSpPr>
      <xdr:spPr bwMode="auto">
        <a:xfrm>
          <a:off x="6781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46" name="Line 50">
          <a:extLst>
            <a:ext uri="{FF2B5EF4-FFF2-40B4-BE49-F238E27FC236}">
              <a16:creationId xmlns:a16="http://schemas.microsoft.com/office/drawing/2014/main" id="{0F95663A-9E11-494C-A44F-A0D9D43A654D}"/>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47" name="Line 51">
          <a:extLst>
            <a:ext uri="{FF2B5EF4-FFF2-40B4-BE49-F238E27FC236}">
              <a16:creationId xmlns:a16="http://schemas.microsoft.com/office/drawing/2014/main" id="{4619FAF0-E8DC-4316-8F8D-7276AA1B624C}"/>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48" name="Line 52">
          <a:extLst>
            <a:ext uri="{FF2B5EF4-FFF2-40B4-BE49-F238E27FC236}">
              <a16:creationId xmlns:a16="http://schemas.microsoft.com/office/drawing/2014/main" id="{63EFD688-57F4-45A4-8F7E-A70CAEB0D4E2}"/>
            </a:ext>
          </a:extLst>
        </xdr:cNvPr>
        <xdr:cNvSpPr>
          <a:spLocks noChangeShapeType="1"/>
        </xdr:cNvSpPr>
      </xdr:nvSpPr>
      <xdr:spPr bwMode="auto">
        <a:xfrm flipH="1">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49" name="Line 53">
          <a:extLst>
            <a:ext uri="{FF2B5EF4-FFF2-40B4-BE49-F238E27FC236}">
              <a16:creationId xmlns:a16="http://schemas.microsoft.com/office/drawing/2014/main" id="{CDA4A078-A744-47E4-BD0C-ABCEF996E907}"/>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0" name="Line 54">
          <a:extLst>
            <a:ext uri="{FF2B5EF4-FFF2-40B4-BE49-F238E27FC236}">
              <a16:creationId xmlns:a16="http://schemas.microsoft.com/office/drawing/2014/main" id="{AF4C0986-4ABB-4481-BDAC-DAA923AEFB5C}"/>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1" name="Line 55">
          <a:extLst>
            <a:ext uri="{FF2B5EF4-FFF2-40B4-BE49-F238E27FC236}">
              <a16:creationId xmlns:a16="http://schemas.microsoft.com/office/drawing/2014/main" id="{5BDFA028-4358-4CB6-852B-7DFE037F1D4F}"/>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2" name="Line 56">
          <a:extLst>
            <a:ext uri="{FF2B5EF4-FFF2-40B4-BE49-F238E27FC236}">
              <a16:creationId xmlns:a16="http://schemas.microsoft.com/office/drawing/2014/main" id="{C9CE4962-9168-4D77-8045-7EB045E94C8D}"/>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3" name="Line 57">
          <a:extLst>
            <a:ext uri="{FF2B5EF4-FFF2-40B4-BE49-F238E27FC236}">
              <a16:creationId xmlns:a16="http://schemas.microsoft.com/office/drawing/2014/main" id="{50953DF0-925F-4A5F-9F99-88E4EB2499F1}"/>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4" name="Line 58">
          <a:extLst>
            <a:ext uri="{FF2B5EF4-FFF2-40B4-BE49-F238E27FC236}">
              <a16:creationId xmlns:a16="http://schemas.microsoft.com/office/drawing/2014/main" id="{80760334-8B29-4E1E-AB41-C883706098AC}"/>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5" name="Line 59">
          <a:extLst>
            <a:ext uri="{FF2B5EF4-FFF2-40B4-BE49-F238E27FC236}">
              <a16:creationId xmlns:a16="http://schemas.microsoft.com/office/drawing/2014/main" id="{7908A5E4-240F-4CA2-B513-254596864C4C}"/>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6" name="Line 60">
          <a:extLst>
            <a:ext uri="{FF2B5EF4-FFF2-40B4-BE49-F238E27FC236}">
              <a16:creationId xmlns:a16="http://schemas.microsoft.com/office/drawing/2014/main" id="{05A47F9A-9307-40DD-9083-A39CE1F09629}"/>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7" name="Line 61">
          <a:extLst>
            <a:ext uri="{FF2B5EF4-FFF2-40B4-BE49-F238E27FC236}">
              <a16:creationId xmlns:a16="http://schemas.microsoft.com/office/drawing/2014/main" id="{E400C798-026B-4C78-AEA8-F0A7E1A8FAE8}"/>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8" name="Line 62">
          <a:extLst>
            <a:ext uri="{FF2B5EF4-FFF2-40B4-BE49-F238E27FC236}">
              <a16:creationId xmlns:a16="http://schemas.microsoft.com/office/drawing/2014/main" id="{F110C39D-4A71-4460-A2A0-262805C79812}"/>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59" name="Line 63">
          <a:extLst>
            <a:ext uri="{FF2B5EF4-FFF2-40B4-BE49-F238E27FC236}">
              <a16:creationId xmlns:a16="http://schemas.microsoft.com/office/drawing/2014/main" id="{91CA04DE-7604-43A7-93F8-6E56814FEE1B}"/>
            </a:ext>
          </a:extLst>
        </xdr:cNvPr>
        <xdr:cNvSpPr>
          <a:spLocks noChangeShapeType="1"/>
        </xdr:cNvSpPr>
      </xdr:nvSpPr>
      <xdr:spPr bwMode="auto">
        <a:xfrm>
          <a:off x="291846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60" name="Line 64">
          <a:extLst>
            <a:ext uri="{FF2B5EF4-FFF2-40B4-BE49-F238E27FC236}">
              <a16:creationId xmlns:a16="http://schemas.microsoft.com/office/drawing/2014/main" id="{2D7D0E76-17D7-4C4C-AE59-320A20345B83}"/>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61" name="Line 65">
          <a:extLst>
            <a:ext uri="{FF2B5EF4-FFF2-40B4-BE49-F238E27FC236}">
              <a16:creationId xmlns:a16="http://schemas.microsoft.com/office/drawing/2014/main" id="{0F2E8B58-48FE-40C7-8559-0105F30DE5DB}"/>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62" name="Line 66">
          <a:extLst>
            <a:ext uri="{FF2B5EF4-FFF2-40B4-BE49-F238E27FC236}">
              <a16:creationId xmlns:a16="http://schemas.microsoft.com/office/drawing/2014/main" id="{09EB772C-D184-4B6B-BB31-056E8D09E9C2}"/>
            </a:ext>
          </a:extLst>
        </xdr:cNvPr>
        <xdr:cNvSpPr>
          <a:spLocks noChangeShapeType="1"/>
        </xdr:cNvSpPr>
      </xdr:nvSpPr>
      <xdr:spPr bwMode="auto">
        <a:xfrm>
          <a:off x="241554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63" name="Line 67">
          <a:extLst>
            <a:ext uri="{FF2B5EF4-FFF2-40B4-BE49-F238E27FC236}">
              <a16:creationId xmlns:a16="http://schemas.microsoft.com/office/drawing/2014/main" id="{3A7EAC66-15A2-4EE1-A4A3-295AC852C76A}"/>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64" name="Line 68">
          <a:extLst>
            <a:ext uri="{FF2B5EF4-FFF2-40B4-BE49-F238E27FC236}">
              <a16:creationId xmlns:a16="http://schemas.microsoft.com/office/drawing/2014/main" id="{1D2F1CE1-98F5-4498-A0DC-723E5761CF1D}"/>
            </a:ext>
          </a:extLst>
        </xdr:cNvPr>
        <xdr:cNvSpPr>
          <a:spLocks noChangeShapeType="1"/>
        </xdr:cNvSpPr>
      </xdr:nvSpPr>
      <xdr:spPr bwMode="auto">
        <a:xfrm>
          <a:off x="2049780" y="0"/>
          <a:ext cx="0" cy="0"/>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65" name="Line 70">
          <a:extLst>
            <a:ext uri="{FF2B5EF4-FFF2-40B4-BE49-F238E27FC236}">
              <a16:creationId xmlns:a16="http://schemas.microsoft.com/office/drawing/2014/main" id="{77160863-C87C-46C2-B7F9-5E2711C3C395}"/>
            </a:ext>
          </a:extLst>
        </xdr:cNvPr>
        <xdr:cNvSpPr>
          <a:spLocks noChangeShapeType="1"/>
        </xdr:cNvSpPr>
      </xdr:nvSpPr>
      <xdr:spPr bwMode="auto">
        <a:xfrm>
          <a:off x="337185" y="1859280"/>
          <a:ext cx="171259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66" name="Line 71">
          <a:extLst>
            <a:ext uri="{FF2B5EF4-FFF2-40B4-BE49-F238E27FC236}">
              <a16:creationId xmlns:a16="http://schemas.microsoft.com/office/drawing/2014/main" id="{9D427A22-3647-4FB4-9C23-EC896D6B7D13}"/>
            </a:ext>
          </a:extLst>
        </xdr:cNvPr>
        <xdr:cNvSpPr>
          <a:spLocks noChangeShapeType="1"/>
        </xdr:cNvSpPr>
      </xdr:nvSpPr>
      <xdr:spPr bwMode="auto">
        <a:xfrm>
          <a:off x="327660" y="1859280"/>
          <a:ext cx="172212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67" name="Line 72">
          <a:extLst>
            <a:ext uri="{FF2B5EF4-FFF2-40B4-BE49-F238E27FC236}">
              <a16:creationId xmlns:a16="http://schemas.microsoft.com/office/drawing/2014/main" id="{75D0146E-5BF8-497C-9C8C-06E8ADC7888C}"/>
            </a:ext>
          </a:extLst>
        </xdr:cNvPr>
        <xdr:cNvSpPr>
          <a:spLocks noChangeShapeType="1"/>
        </xdr:cNvSpPr>
      </xdr:nvSpPr>
      <xdr:spPr bwMode="auto">
        <a:xfrm flipH="1">
          <a:off x="9525" y="1859280"/>
          <a:ext cx="32766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6</xdr:col>
      <xdr:colOff>0</xdr:colOff>
      <xdr:row>6</xdr:row>
      <xdr:rowOff>0</xdr:rowOff>
    </xdr:to>
    <xdr:sp macro="" textlink="">
      <xdr:nvSpPr>
        <xdr:cNvPr id="68" name="Line 74">
          <a:extLst>
            <a:ext uri="{FF2B5EF4-FFF2-40B4-BE49-F238E27FC236}">
              <a16:creationId xmlns:a16="http://schemas.microsoft.com/office/drawing/2014/main" id="{2A50C5C2-3BF9-49B2-9951-B6EA0E64C700}"/>
            </a:ext>
          </a:extLst>
        </xdr:cNvPr>
        <xdr:cNvSpPr>
          <a:spLocks noChangeShapeType="1"/>
        </xdr:cNvSpPr>
      </xdr:nvSpPr>
      <xdr:spPr bwMode="auto">
        <a:xfrm>
          <a:off x="9525" y="1859280"/>
          <a:ext cx="2040255" cy="0"/>
        </a:xfrm>
        <a:prstGeom prst="line">
          <a:avLst/>
        </a:prstGeom>
        <a:noFill/>
        <a:ln w="9525">
          <a:solidFill>
            <a:srgbClr val="000000"/>
          </a:solidFill>
          <a:round/>
          <a:headEnd/>
          <a:tailEnd/>
        </a:ln>
      </xdr:spPr>
    </xdr:sp>
    <xdr:clientData/>
  </xdr:twoCellAnchor>
  <xdr:twoCellAnchor>
    <xdr:from>
      <xdr:col>0</xdr:col>
      <xdr:colOff>9525</xdr:colOff>
      <xdr:row>2</xdr:row>
      <xdr:rowOff>0</xdr:rowOff>
    </xdr:from>
    <xdr:to>
      <xdr:col>0</xdr:col>
      <xdr:colOff>9525</xdr:colOff>
      <xdr:row>15</xdr:row>
      <xdr:rowOff>9525</xdr:rowOff>
    </xdr:to>
    <xdr:sp macro="" textlink="">
      <xdr:nvSpPr>
        <xdr:cNvPr id="69" name="Line 75">
          <a:extLst>
            <a:ext uri="{FF2B5EF4-FFF2-40B4-BE49-F238E27FC236}">
              <a16:creationId xmlns:a16="http://schemas.microsoft.com/office/drawing/2014/main" id="{6FBC3847-D967-4405-99AA-2334B52EFEC8}"/>
            </a:ext>
          </a:extLst>
        </xdr:cNvPr>
        <xdr:cNvSpPr>
          <a:spLocks noChangeShapeType="1"/>
        </xdr:cNvSpPr>
      </xdr:nvSpPr>
      <xdr:spPr bwMode="auto">
        <a:xfrm>
          <a:off x="9525" y="411480"/>
          <a:ext cx="0" cy="3789045"/>
        </a:xfrm>
        <a:prstGeom prst="line">
          <a:avLst/>
        </a:prstGeom>
        <a:no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galfarqa-my.sharepoint.com/personal/snehalkumar_ms_galfarqatar_com_qa/Documents/Documents/3.%20Non%20TA%20&amp;%20TA%20Scope%20%20&amp;%20Valve%20Schedule/1.%20TA%20Scope/1.%20JC%20Valves/From%20JC%20Mese%20&amp;%20Serial%20No%20for%20supplied.xlsx" TargetMode="External"/><Relationship Id="rId1" Type="http://schemas.openxmlformats.org/officeDocument/2006/relationships/externalLinkPath" Target="https://galfarqa-my.sharepoint.com/personal/snehalkumar_ms_galfarqatar_com_qa/Documents/Documents/3.%20Non%20TA%20&amp;%20TA%20Scope%20%20&amp;%20Valve%20Schedule/1.%20TA%20Scope/1.%20JC%20Valves/From%20JC%20Mese%20&amp;%20Serial%20No%20for%20suppli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RD022205-GALFAR -VALVE LIST"/>
      <sheetName val="VALVE LIST "/>
      <sheetName val="Work File "/>
      <sheetName val="From CDC site verification P1 "/>
    </sheetNames>
    <sheetDataSet>
      <sheetData sheetId="0"/>
      <sheetData sheetId="1"/>
      <sheetData sheetId="2"/>
      <sheetData sheetId="3">
        <row r="1">
          <cell r="D1" t="str">
            <v>Serial Number</v>
          </cell>
          <cell r="E1" t="str">
            <v>TAG NUMBER</v>
          </cell>
        </row>
        <row r="2">
          <cell r="D2" t="str">
            <v>NA</v>
          </cell>
          <cell r="E2" t="str">
            <v>13-M2-BV-0001</v>
          </cell>
        </row>
        <row r="3">
          <cell r="D3" t="str">
            <v>NA</v>
          </cell>
          <cell r="E3" t="str">
            <v>13-M2-BV-0002</v>
          </cell>
        </row>
        <row r="4">
          <cell r="D4" t="str">
            <v>NA</v>
          </cell>
          <cell r="E4" t="str">
            <v>13-M2-BV-0003</v>
          </cell>
        </row>
        <row r="5">
          <cell r="D5" t="str">
            <v>21736-150-63</v>
          </cell>
          <cell r="E5" t="str">
            <v>13-4034-BV-0085</v>
          </cell>
        </row>
        <row r="6">
          <cell r="D6" t="str">
            <v>21736-150-20</v>
          </cell>
          <cell r="E6" t="str">
            <v>13-4034-BV-0086</v>
          </cell>
        </row>
        <row r="7">
          <cell r="D7" t="str">
            <v>21736-150-56</v>
          </cell>
          <cell r="E7" t="str">
            <v>13-4034-BV-0087</v>
          </cell>
        </row>
        <row r="8">
          <cell r="D8" t="str">
            <v>21736-150-58</v>
          </cell>
          <cell r="E8" t="str">
            <v>13-4034-BV-0088</v>
          </cell>
        </row>
        <row r="9">
          <cell r="D9" t="str">
            <v>21736-150-31</v>
          </cell>
          <cell r="E9" t="str">
            <v>13-4034-BV-0089</v>
          </cell>
        </row>
        <row r="10">
          <cell r="D10" t="str">
            <v>21736-150-73</v>
          </cell>
          <cell r="E10" t="str">
            <v>13-4034-BV-0090</v>
          </cell>
        </row>
        <row r="11">
          <cell r="D11" t="str">
            <v>21736-150-28</v>
          </cell>
          <cell r="E11" t="str">
            <v>13-4034-BV-0091</v>
          </cell>
        </row>
        <row r="12">
          <cell r="D12" t="str">
            <v>21736-150-1</v>
          </cell>
          <cell r="E12" t="str">
            <v>13-4034-BV-0092</v>
          </cell>
        </row>
        <row r="13">
          <cell r="D13" t="str">
            <v>21736-110-6</v>
          </cell>
          <cell r="E13" t="str">
            <v>13-4034-BV-0001</v>
          </cell>
        </row>
        <row r="14">
          <cell r="D14" t="str">
            <v>21736-110-13</v>
          </cell>
          <cell r="E14" t="str">
            <v>13-4034-BV-0002</v>
          </cell>
        </row>
        <row r="15">
          <cell r="D15" t="str">
            <v>21736-80-38</v>
          </cell>
          <cell r="E15" t="str">
            <v>13-4034-BV-0007</v>
          </cell>
        </row>
        <row r="16">
          <cell r="D16" t="str">
            <v>21736-80-6</v>
          </cell>
          <cell r="E16" t="str">
            <v>13-4034-BV-0008</v>
          </cell>
        </row>
        <row r="17">
          <cell r="D17" t="str">
            <v>21736-80-24</v>
          </cell>
          <cell r="E17" t="str">
            <v>13-4034-BV-0009</v>
          </cell>
        </row>
        <row r="18">
          <cell r="D18" t="str">
            <v>21736-110-49</v>
          </cell>
          <cell r="E18" t="str">
            <v>13-4034-BV-0015</v>
          </cell>
        </row>
        <row r="19">
          <cell r="D19" t="str">
            <v>21736-110-5</v>
          </cell>
          <cell r="E19" t="str">
            <v>13-4034-BV-0016</v>
          </cell>
        </row>
        <row r="20">
          <cell r="D20" t="str">
            <v>21736-80-67</v>
          </cell>
          <cell r="E20" t="str">
            <v>13-4034-BV-0021</v>
          </cell>
        </row>
        <row r="21">
          <cell r="D21" t="str">
            <v>21736-80-25</v>
          </cell>
          <cell r="E21" t="str">
            <v>13-4034-BV-0022</v>
          </cell>
        </row>
        <row r="22">
          <cell r="D22" t="str">
            <v>21736-80-43</v>
          </cell>
          <cell r="E22" t="str">
            <v>13-4034-BV-0023</v>
          </cell>
        </row>
        <row r="23">
          <cell r="D23" t="str">
            <v>21736-110-57</v>
          </cell>
          <cell r="E23" t="str">
            <v>13-4034-BV-0029</v>
          </cell>
        </row>
        <row r="24">
          <cell r="D24" t="str">
            <v>21736-110-3</v>
          </cell>
          <cell r="E24" t="str">
            <v>13-4034-BV-0030</v>
          </cell>
        </row>
        <row r="25">
          <cell r="D25" t="str">
            <v>21736-80-30</v>
          </cell>
          <cell r="E25" t="str">
            <v>13-4034-BV-0035</v>
          </cell>
        </row>
        <row r="26">
          <cell r="D26" t="str">
            <v>21736-80-113</v>
          </cell>
          <cell r="E26" t="str">
            <v>13-4034-BV-0036</v>
          </cell>
        </row>
        <row r="27">
          <cell r="D27" t="str">
            <v>21736-80-107</v>
          </cell>
          <cell r="E27" t="str">
            <v>13-4034-BV-0037</v>
          </cell>
        </row>
        <row r="28">
          <cell r="D28" t="str">
            <v>21736-110-59</v>
          </cell>
          <cell r="E28" t="str">
            <v>13-4034-BV-0043</v>
          </cell>
        </row>
        <row r="29">
          <cell r="D29" t="str">
            <v>21736-110-72</v>
          </cell>
          <cell r="E29" t="str">
            <v>13-4034-BV-0044</v>
          </cell>
        </row>
        <row r="30">
          <cell r="D30" t="str">
            <v>21736-80-53</v>
          </cell>
          <cell r="E30" t="str">
            <v>13-4034-BV-0049</v>
          </cell>
        </row>
        <row r="31">
          <cell r="D31" t="str">
            <v>21736-80-47</v>
          </cell>
          <cell r="E31" t="str">
            <v>13-4034-BV-0050</v>
          </cell>
        </row>
        <row r="32">
          <cell r="D32" t="str">
            <v>21736-80-104</v>
          </cell>
          <cell r="E32" t="str">
            <v>13-4034-BV-0051</v>
          </cell>
        </row>
        <row r="33">
          <cell r="D33" t="str">
            <v>21736-110-53</v>
          </cell>
          <cell r="E33" t="str">
            <v>13-4034-BV-0057</v>
          </cell>
        </row>
        <row r="34">
          <cell r="D34" t="str">
            <v>21736-110-76</v>
          </cell>
          <cell r="E34" t="str">
            <v>13-4034-BV-0058</v>
          </cell>
        </row>
        <row r="35">
          <cell r="D35" t="str">
            <v>21736-80-26</v>
          </cell>
          <cell r="E35" t="str">
            <v>13-4034-BV-0063</v>
          </cell>
        </row>
        <row r="36">
          <cell r="D36" t="str">
            <v>21736-80-22</v>
          </cell>
          <cell r="E36" t="str">
            <v>13-4034-BV-0064</v>
          </cell>
        </row>
        <row r="37">
          <cell r="D37" t="str">
            <v>21736-80-44</v>
          </cell>
          <cell r="E37" t="str">
            <v>13-4034-BV-0065</v>
          </cell>
        </row>
        <row r="38">
          <cell r="D38" t="str">
            <v>21736-110-56</v>
          </cell>
          <cell r="E38" t="str">
            <v>13-4034-BV-0071</v>
          </cell>
        </row>
        <row r="39">
          <cell r="D39" t="str">
            <v>21736-110-7</v>
          </cell>
          <cell r="E39" t="str">
            <v>13-4034-BV-0072</v>
          </cell>
        </row>
        <row r="40">
          <cell r="D40" t="str">
            <v>21736-80-31</v>
          </cell>
          <cell r="E40" t="str">
            <v>13-4034-BV-0077</v>
          </cell>
        </row>
        <row r="41">
          <cell r="D41" t="str">
            <v>21736-80-48</v>
          </cell>
          <cell r="E41" t="str">
            <v>13-4034-BV-0078</v>
          </cell>
        </row>
        <row r="42">
          <cell r="D42" t="str">
            <v>21736-80-52</v>
          </cell>
          <cell r="E42" t="str">
            <v>13-4034-BV-0079</v>
          </cell>
        </row>
        <row r="43">
          <cell r="D43" t="str">
            <v>21736-150-9</v>
          </cell>
          <cell r="E43" t="str">
            <v>13-4034-BV-0093</v>
          </cell>
        </row>
        <row r="44">
          <cell r="D44" t="str">
            <v>21736-150-42</v>
          </cell>
          <cell r="E44" t="str">
            <v>13-4034-BV-0094</v>
          </cell>
        </row>
        <row r="45">
          <cell r="D45" t="str">
            <v>21736-150-4</v>
          </cell>
          <cell r="E45" t="str">
            <v>13-4034-BV-0095</v>
          </cell>
        </row>
        <row r="46">
          <cell r="D46" t="str">
            <v>21736-150-55</v>
          </cell>
          <cell r="E46" t="str">
            <v>13-4034-BV-0096</v>
          </cell>
        </row>
        <row r="47">
          <cell r="D47" t="str">
            <v>21736-30-2</v>
          </cell>
          <cell r="E47" t="str">
            <v>13-BV-5052</v>
          </cell>
        </row>
        <row r="48">
          <cell r="D48" t="str">
            <v>NAME PLATE NOT AVAILABLE</v>
          </cell>
          <cell r="E48" t="str">
            <v>13-BV-5053</v>
          </cell>
        </row>
        <row r="49">
          <cell r="D49" t="str">
            <v>21736-30-1</v>
          </cell>
          <cell r="E49" t="str">
            <v>13-BV-5054</v>
          </cell>
        </row>
        <row r="50">
          <cell r="D50" t="str">
            <v>21736-150-27</v>
          </cell>
          <cell r="E50" t="str">
            <v>13-4034-BV-0181</v>
          </cell>
        </row>
        <row r="51">
          <cell r="D51" t="str">
            <v>21736-150-41</v>
          </cell>
          <cell r="E51" t="str">
            <v>13-4034-BV-0182</v>
          </cell>
        </row>
        <row r="52">
          <cell r="D52" t="str">
            <v>21736-150-26</v>
          </cell>
          <cell r="E52" t="str">
            <v>13-4034-BV-0183</v>
          </cell>
        </row>
        <row r="53">
          <cell r="D53" t="str">
            <v>21736-150-45</v>
          </cell>
          <cell r="E53" t="str">
            <v>13-4034-BV-0184</v>
          </cell>
        </row>
        <row r="54">
          <cell r="D54" t="str">
            <v>21736-150-80</v>
          </cell>
          <cell r="E54" t="str">
            <v>13-4034-BV-0185</v>
          </cell>
        </row>
        <row r="55">
          <cell r="D55" t="str">
            <v>21736-150-17</v>
          </cell>
          <cell r="E55" t="str">
            <v>13-4034-BV-0186</v>
          </cell>
        </row>
        <row r="56">
          <cell r="D56" t="str">
            <v>21736-150-37</v>
          </cell>
          <cell r="E56" t="str">
            <v>13-4034-BV-0187</v>
          </cell>
        </row>
        <row r="57">
          <cell r="D57" t="str">
            <v>21736-150-76</v>
          </cell>
          <cell r="E57" t="str">
            <v>13-4034-BV-0188</v>
          </cell>
        </row>
        <row r="58">
          <cell r="D58" t="str">
            <v>21736-150-60</v>
          </cell>
          <cell r="E58" t="str">
            <v>13-4034-BV-0189</v>
          </cell>
        </row>
        <row r="59">
          <cell r="D59" t="str">
            <v>21736-150-52</v>
          </cell>
          <cell r="E59" t="str">
            <v>13-4034-BV-0190</v>
          </cell>
        </row>
        <row r="60">
          <cell r="D60" t="str">
            <v>21736-150-2</v>
          </cell>
          <cell r="E60" t="str">
            <v>13-4034-BV-0191</v>
          </cell>
        </row>
        <row r="61">
          <cell r="D61" t="str">
            <v>21736-150-67</v>
          </cell>
          <cell r="E61" t="str">
            <v>13-4034-BV-0192</v>
          </cell>
        </row>
        <row r="62">
          <cell r="D62" t="str">
            <v>21736-110-20</v>
          </cell>
          <cell r="E62" t="str">
            <v>13-4034-BV-0097</v>
          </cell>
        </row>
        <row r="63">
          <cell r="D63" t="str">
            <v>21736-110-61</v>
          </cell>
          <cell r="E63" t="str">
            <v>13-4034-BV-0098</v>
          </cell>
        </row>
        <row r="64">
          <cell r="D64" t="str">
            <v>21736-80-41</v>
          </cell>
          <cell r="E64" t="str">
            <v>13-4034-BV-0103</v>
          </cell>
        </row>
        <row r="65">
          <cell r="D65" t="str">
            <v>21736-80-73</v>
          </cell>
          <cell r="E65" t="str">
            <v>13-4034-BV-0104</v>
          </cell>
        </row>
        <row r="66">
          <cell r="D66" t="str">
            <v>21736-80-65</v>
          </cell>
          <cell r="E66" t="str">
            <v>13-4034-BV-0105</v>
          </cell>
        </row>
        <row r="67">
          <cell r="D67" t="str">
            <v>21736-110-74</v>
          </cell>
          <cell r="E67" t="str">
            <v>13-4034-BV-0111</v>
          </cell>
        </row>
        <row r="68">
          <cell r="D68" t="str">
            <v>21736-110-63</v>
          </cell>
          <cell r="E68" t="str">
            <v>13-4034-BV-0112</v>
          </cell>
        </row>
        <row r="69">
          <cell r="D69" t="str">
            <v>21736-80-1</v>
          </cell>
          <cell r="E69" t="str">
            <v>13-4034-BV-0117</v>
          </cell>
        </row>
        <row r="70">
          <cell r="D70" t="str">
            <v>21736-80-116</v>
          </cell>
          <cell r="E70" t="str">
            <v>13-4034-BV-0118</v>
          </cell>
        </row>
        <row r="71">
          <cell r="D71" t="str">
            <v>21736-80-36</v>
          </cell>
          <cell r="E71" t="str">
            <v>13-4034-BV-0119</v>
          </cell>
        </row>
        <row r="72">
          <cell r="D72" t="str">
            <v>21736-110-47</v>
          </cell>
          <cell r="E72" t="str">
            <v>13-4034-BV-0125</v>
          </cell>
        </row>
        <row r="73">
          <cell r="D73" t="str">
            <v>21736-110-52</v>
          </cell>
          <cell r="E73" t="str">
            <v>13-4034-BV-0126</v>
          </cell>
        </row>
        <row r="74">
          <cell r="D74" t="str">
            <v>21736-80-68</v>
          </cell>
          <cell r="E74" t="str">
            <v>13-4034-BV-0131</v>
          </cell>
        </row>
        <row r="75">
          <cell r="D75" t="str">
            <v>21736-80-32</v>
          </cell>
          <cell r="E75" t="str">
            <v>13-4034-BV-0132</v>
          </cell>
        </row>
        <row r="76">
          <cell r="D76" t="str">
            <v>21736-80-101</v>
          </cell>
          <cell r="E76" t="str">
            <v>13-4034-BV-0133</v>
          </cell>
        </row>
        <row r="77">
          <cell r="D77" t="str">
            <v>21736-110-35</v>
          </cell>
          <cell r="E77" t="str">
            <v>13-4034-BV-0139</v>
          </cell>
        </row>
        <row r="78">
          <cell r="D78" t="str">
            <v>21736-110-10</v>
          </cell>
          <cell r="E78" t="str">
            <v>13-4034-BV-0140</v>
          </cell>
        </row>
        <row r="79">
          <cell r="D79" t="str">
            <v>21736-80-61</v>
          </cell>
          <cell r="E79" t="str">
            <v>13-4034-BV-0145</v>
          </cell>
        </row>
        <row r="80">
          <cell r="D80" t="str">
            <v>21736-80-120</v>
          </cell>
          <cell r="E80" t="str">
            <v>13-4034-BV-0146</v>
          </cell>
        </row>
        <row r="81">
          <cell r="D81" t="str">
            <v>21736-80-27</v>
          </cell>
          <cell r="E81" t="str">
            <v>13-4034-BV-0147</v>
          </cell>
        </row>
        <row r="82">
          <cell r="D82" t="str">
            <v>21736-110-14</v>
          </cell>
          <cell r="E82" t="str">
            <v>13-4034-BV-0153</v>
          </cell>
        </row>
        <row r="83">
          <cell r="D83" t="str">
            <v>21736-110-60</v>
          </cell>
          <cell r="E83" t="str">
            <v>13-4034-BV-0154</v>
          </cell>
        </row>
        <row r="84">
          <cell r="D84" t="str">
            <v>21736-80-21</v>
          </cell>
          <cell r="E84" t="str">
            <v>13-4034-BV-0159</v>
          </cell>
        </row>
        <row r="85">
          <cell r="D85" t="str">
            <v>21736-80-29</v>
          </cell>
          <cell r="E85" t="str">
            <v>13-4034-BV-0160</v>
          </cell>
        </row>
        <row r="86">
          <cell r="D86" t="str">
            <v>21736-80-2</v>
          </cell>
          <cell r="E86" t="str">
            <v>13-4034-BV-0161</v>
          </cell>
        </row>
        <row r="87">
          <cell r="D87" t="str">
            <v>21736-110-40</v>
          </cell>
          <cell r="E87" t="str">
            <v>13-4034-BV-0167</v>
          </cell>
        </row>
        <row r="88">
          <cell r="D88" t="str">
            <v>21736-110-50</v>
          </cell>
          <cell r="E88" t="str">
            <v>13-4034-BV-0168</v>
          </cell>
        </row>
        <row r="89">
          <cell r="D89" t="str">
            <v>21736-80-102</v>
          </cell>
          <cell r="E89" t="str">
            <v>13-4034-BV-0173</v>
          </cell>
        </row>
        <row r="90">
          <cell r="D90" t="str">
            <v>21736-80-34</v>
          </cell>
          <cell r="E90" t="str">
            <v>13-4034-BV-0174</v>
          </cell>
        </row>
        <row r="91">
          <cell r="D91" t="str">
            <v>21736-80-109</v>
          </cell>
          <cell r="E91" t="str">
            <v>13-4034-BV-0175</v>
          </cell>
        </row>
        <row r="92">
          <cell r="D92" t="str">
            <v>NA</v>
          </cell>
          <cell r="E92" t="str">
            <v>13-4034-BV-0193</v>
          </cell>
        </row>
        <row r="93">
          <cell r="D93" t="str">
            <v>NA</v>
          </cell>
          <cell r="E93" t="str">
            <v>13-4034-BV-0194</v>
          </cell>
        </row>
        <row r="94">
          <cell r="D94" t="str">
            <v>NA</v>
          </cell>
          <cell r="E94" t="str">
            <v>13-4034-BV-0247</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3" Type="http://schemas.openxmlformats.org/officeDocument/2006/relationships/vmlDrawing" Target="../drawings/vmlDrawing3.v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4.xml"/><Relationship Id="rId16" Type="http://schemas.openxmlformats.org/officeDocument/2006/relationships/ctrlProp" Target="../ctrlProps/ctrlProp33.xml"/><Relationship Id="rId20" Type="http://schemas.openxmlformats.org/officeDocument/2006/relationships/comments" Target="../comments3.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B37"/>
  <sheetViews>
    <sheetView showGridLines="0" tabSelected="1" view="pageBreakPreview" zoomScale="60" zoomScaleNormal="55" workbookViewId="0">
      <selection activeCell="N31" sqref="N31"/>
    </sheetView>
  </sheetViews>
  <sheetFormatPr defaultRowHeight="12.75"/>
  <cols>
    <col min="1" max="1" width="4.5703125" customWidth="1"/>
    <col min="2" max="2" width="4.7109375" customWidth="1"/>
    <col min="3" max="6" width="5.7109375" customWidth="1"/>
    <col min="7" max="7" width="4.28515625" customWidth="1"/>
    <col min="8" max="8" width="4.7109375" customWidth="1"/>
    <col min="9" max="9" width="59.85546875" customWidth="1"/>
    <col min="10" max="10" width="35" customWidth="1"/>
    <col min="11" max="11" width="26.85546875" customWidth="1"/>
    <col min="12" max="12" width="25.42578125" customWidth="1"/>
    <col min="13" max="13" width="30.140625" customWidth="1"/>
    <col min="14" max="14" width="45.140625" customWidth="1"/>
    <col min="15" max="15" width="14.28515625" customWidth="1"/>
    <col min="16" max="16" width="19.28515625" customWidth="1"/>
    <col min="17" max="19" width="3.7109375" customWidth="1"/>
    <col min="20" max="20" width="3.5703125" customWidth="1"/>
    <col min="21" max="21" width="21.28515625" customWidth="1"/>
    <col min="22" max="22" width="7.7109375" bestFit="1" customWidth="1"/>
    <col min="23" max="23" width="7.5703125" customWidth="1"/>
    <col min="24" max="24" width="4.7109375" customWidth="1"/>
    <col min="25" max="25" width="14" customWidth="1"/>
    <col min="26" max="26" width="12.7109375" customWidth="1"/>
    <col min="27" max="27" width="10.7109375" customWidth="1"/>
  </cols>
  <sheetData>
    <row r="1" spans="1:28" ht="47.45" customHeight="1" thickTop="1" thickBot="1">
      <c r="A1" s="1"/>
      <c r="B1" s="392" t="s">
        <v>0</v>
      </c>
      <c r="C1" s="365" t="s">
        <v>1</v>
      </c>
      <c r="D1" s="365" t="s">
        <v>1</v>
      </c>
      <c r="E1" s="365" t="s">
        <v>1</v>
      </c>
      <c r="F1" s="365" t="s">
        <v>2</v>
      </c>
      <c r="G1" s="362" t="s">
        <v>3</v>
      </c>
      <c r="H1" s="363"/>
      <c r="I1" s="363"/>
      <c r="J1" s="363"/>
      <c r="K1" s="363"/>
      <c r="L1" s="364"/>
      <c r="M1" s="31"/>
      <c r="N1" s="40" t="s">
        <v>4</v>
      </c>
      <c r="O1" s="2"/>
      <c r="P1" s="2"/>
      <c r="Q1" s="2"/>
      <c r="R1" s="2"/>
      <c r="S1" s="2"/>
      <c r="T1" s="3"/>
      <c r="U1" s="75" t="s">
        <v>5</v>
      </c>
      <c r="V1" s="378" t="s">
        <v>1826</v>
      </c>
      <c r="W1" s="379"/>
      <c r="X1" s="379"/>
      <c r="Y1" s="379"/>
      <c r="Z1" s="379"/>
      <c r="AA1" s="380"/>
    </row>
    <row r="2" spans="1:28" ht="17.45" customHeight="1" thickBot="1">
      <c r="A2" s="167">
        <v>1</v>
      </c>
      <c r="B2" s="393"/>
      <c r="C2" s="365"/>
      <c r="D2" s="365"/>
      <c r="E2" s="365"/>
      <c r="F2" s="365"/>
      <c r="G2" s="366" t="s">
        <v>7</v>
      </c>
      <c r="H2" s="367"/>
      <c r="I2" s="367"/>
      <c r="J2" s="367"/>
      <c r="K2" s="367"/>
      <c r="L2" s="368"/>
      <c r="M2" s="5" t="s">
        <v>8</v>
      </c>
      <c r="N2" s="51"/>
      <c r="O2" s="48" t="s">
        <v>9</v>
      </c>
      <c r="P2" s="48"/>
      <c r="Q2" s="6"/>
      <c r="R2" s="6"/>
      <c r="S2" s="6"/>
      <c r="T2" s="7"/>
      <c r="U2" s="138" t="s">
        <v>10</v>
      </c>
      <c r="V2" s="374" t="s">
        <v>11</v>
      </c>
      <c r="W2" s="374"/>
      <c r="X2" s="374"/>
      <c r="Y2" s="374"/>
      <c r="Z2" s="374"/>
      <c r="AA2" s="375"/>
    </row>
    <row r="3" spans="1:28" ht="51" customHeight="1" thickBot="1">
      <c r="A3" s="8"/>
      <c r="B3" s="394"/>
      <c r="C3" s="365"/>
      <c r="D3" s="365"/>
      <c r="E3" s="365"/>
      <c r="F3" s="365"/>
      <c r="G3" s="369"/>
      <c r="H3" s="369"/>
      <c r="I3" s="369"/>
      <c r="J3" s="369"/>
      <c r="K3" s="369"/>
      <c r="L3" s="370"/>
      <c r="M3" s="9" t="s">
        <v>12</v>
      </c>
      <c r="O3" s="52"/>
      <c r="P3" s="52"/>
      <c r="Q3" s="52"/>
      <c r="R3" s="52"/>
      <c r="S3" s="52"/>
      <c r="T3" s="53"/>
      <c r="U3" s="138" t="s">
        <v>13</v>
      </c>
      <c r="V3" s="374" t="s">
        <v>14</v>
      </c>
      <c r="W3" s="374"/>
      <c r="X3" s="374"/>
      <c r="Y3" s="374"/>
      <c r="Z3" s="374"/>
      <c r="AA3" s="375"/>
    </row>
    <row r="4" spans="1:28" ht="90" customHeight="1" thickBot="1">
      <c r="A4" s="10"/>
      <c r="B4" s="395" t="s">
        <v>15</v>
      </c>
      <c r="C4" s="361">
        <v>730</v>
      </c>
      <c r="D4" s="361">
        <v>715</v>
      </c>
      <c r="E4" s="361">
        <v>730</v>
      </c>
      <c r="F4" s="361">
        <v>715</v>
      </c>
      <c r="G4" s="371"/>
      <c r="H4" s="372"/>
      <c r="I4" s="372"/>
      <c r="J4" s="372"/>
      <c r="K4" s="372"/>
      <c r="L4" s="373"/>
      <c r="M4" s="11" t="s">
        <v>16</v>
      </c>
      <c r="N4" s="54"/>
      <c r="O4" s="54"/>
      <c r="P4" s="54"/>
      <c r="Q4" s="54"/>
      <c r="R4" s="54"/>
      <c r="S4" s="54"/>
      <c r="T4" s="55"/>
      <c r="U4" s="56" t="s">
        <v>17</v>
      </c>
      <c r="V4" s="376" t="s">
        <v>18</v>
      </c>
      <c r="W4" s="376"/>
      <c r="X4" s="376"/>
      <c r="Y4" s="376"/>
      <c r="Z4" s="376"/>
      <c r="AA4" s="377"/>
      <c r="AB4" t="b">
        <v>1</v>
      </c>
    </row>
    <row r="5" spans="1:28" ht="27" customHeight="1" thickBot="1">
      <c r="A5" s="12">
        <v>2</v>
      </c>
      <c r="B5" s="396"/>
      <c r="C5" s="361"/>
      <c r="D5" s="361"/>
      <c r="E5" s="361"/>
      <c r="F5" s="361"/>
      <c r="G5" s="13"/>
      <c r="H5" s="14" t="s">
        <v>19</v>
      </c>
      <c r="I5" s="15" t="s">
        <v>20</v>
      </c>
      <c r="J5" s="16"/>
      <c r="K5" s="16"/>
      <c r="L5" s="16"/>
      <c r="M5" s="16"/>
      <c r="N5" s="16"/>
      <c r="O5" s="17"/>
      <c r="P5" s="49"/>
      <c r="Q5" s="18" t="s">
        <v>21</v>
      </c>
      <c r="R5" s="19"/>
      <c r="S5" s="20" t="s">
        <v>22</v>
      </c>
      <c r="T5" s="21"/>
      <c r="U5" s="381" t="s">
        <v>23</v>
      </c>
      <c r="V5" s="382"/>
      <c r="W5" s="382"/>
      <c r="X5" s="382"/>
      <c r="Y5" s="382"/>
      <c r="Z5" s="382"/>
      <c r="AA5" s="383"/>
    </row>
    <row r="6" spans="1:28" ht="78" customHeight="1" thickBot="1">
      <c r="A6" s="248">
        <v>3</v>
      </c>
      <c r="B6" s="249" t="s">
        <v>24</v>
      </c>
      <c r="C6" s="250" t="s">
        <v>1</v>
      </c>
      <c r="D6" s="250" t="s">
        <v>1</v>
      </c>
      <c r="E6" s="250" t="s">
        <v>1</v>
      </c>
      <c r="F6" s="250" t="s">
        <v>2</v>
      </c>
      <c r="G6" s="251" t="s">
        <v>25</v>
      </c>
      <c r="H6" s="57" t="s">
        <v>26</v>
      </c>
      <c r="I6" s="33" t="s">
        <v>27</v>
      </c>
      <c r="J6" s="23" t="s">
        <v>28</v>
      </c>
      <c r="K6" s="42" t="s">
        <v>29</v>
      </c>
      <c r="L6" s="41" t="s">
        <v>30</v>
      </c>
      <c r="M6" s="43" t="s">
        <v>31</v>
      </c>
      <c r="N6" s="43" t="s">
        <v>32</v>
      </c>
      <c r="O6" s="41" t="s">
        <v>33</v>
      </c>
      <c r="P6" s="41" t="s">
        <v>34</v>
      </c>
      <c r="Q6" s="44" t="s">
        <v>35</v>
      </c>
      <c r="R6" s="45" t="s">
        <v>36</v>
      </c>
      <c r="S6" s="44" t="s">
        <v>35</v>
      </c>
      <c r="T6" s="45" t="s">
        <v>37</v>
      </c>
      <c r="U6" s="46" t="s">
        <v>38</v>
      </c>
      <c r="V6" s="46" t="s">
        <v>39</v>
      </c>
      <c r="W6" s="46" t="s">
        <v>40</v>
      </c>
      <c r="X6" s="47" t="s">
        <v>41</v>
      </c>
      <c r="Y6" s="46" t="s">
        <v>42</v>
      </c>
      <c r="Z6" s="24" t="s">
        <v>43</v>
      </c>
      <c r="AA6" s="50" t="s">
        <v>44</v>
      </c>
    </row>
    <row r="7" spans="1:28" ht="52.9" customHeight="1" thickBot="1">
      <c r="A7" s="252">
        <v>4</v>
      </c>
      <c r="B7" s="141" t="s">
        <v>45</v>
      </c>
      <c r="C7" s="253">
        <v>6</v>
      </c>
      <c r="D7" s="253">
        <v>5</v>
      </c>
      <c r="E7" s="253">
        <v>4</v>
      </c>
      <c r="F7" s="253">
        <v>4</v>
      </c>
      <c r="G7" s="142"/>
      <c r="H7" s="32">
        <v>7</v>
      </c>
      <c r="I7" s="32">
        <v>8</v>
      </c>
      <c r="J7" s="26">
        <v>9</v>
      </c>
      <c r="K7" s="32" t="s">
        <v>46</v>
      </c>
      <c r="L7" s="26" t="s">
        <v>47</v>
      </c>
      <c r="M7" s="32" t="s">
        <v>48</v>
      </c>
      <c r="N7" s="32" t="s">
        <v>49</v>
      </c>
      <c r="O7" s="32" t="s">
        <v>50</v>
      </c>
      <c r="P7" s="137" t="s">
        <v>51</v>
      </c>
      <c r="Q7" s="32">
        <v>13</v>
      </c>
      <c r="R7" s="27">
        <v>14</v>
      </c>
      <c r="S7" s="32">
        <v>15</v>
      </c>
      <c r="T7" s="27">
        <v>16</v>
      </c>
      <c r="U7" s="328">
        <v>17</v>
      </c>
      <c r="V7" s="329"/>
      <c r="W7" s="32">
        <v>18</v>
      </c>
      <c r="X7" s="27">
        <v>19</v>
      </c>
      <c r="Y7" s="32">
        <v>20</v>
      </c>
      <c r="Z7" s="27">
        <v>21</v>
      </c>
      <c r="AA7" s="39">
        <v>22</v>
      </c>
    </row>
    <row r="8" spans="1:28" s="232" customFormat="1" ht="79.900000000000006" customHeight="1" thickBot="1">
      <c r="A8" s="384">
        <v>5</v>
      </c>
      <c r="B8" s="388" t="s">
        <v>52</v>
      </c>
      <c r="C8" s="219">
        <v>1</v>
      </c>
      <c r="D8" s="219"/>
      <c r="E8" s="219"/>
      <c r="F8" s="219"/>
      <c r="G8" s="233">
        <v>1</v>
      </c>
      <c r="H8" s="256">
        <v>6</v>
      </c>
      <c r="I8" s="254" t="s">
        <v>53</v>
      </c>
      <c r="J8" s="222" t="s">
        <v>54</v>
      </c>
      <c r="K8" s="222" t="s">
        <v>55</v>
      </c>
      <c r="L8" s="222" t="s">
        <v>55</v>
      </c>
      <c r="M8" s="221" t="s">
        <v>56</v>
      </c>
      <c r="N8" s="223" t="s">
        <v>57</v>
      </c>
      <c r="O8" s="224" t="s">
        <v>14</v>
      </c>
      <c r="P8" s="225"/>
      <c r="Q8" s="221">
        <v>0</v>
      </c>
      <c r="R8" s="226"/>
      <c r="S8" s="221">
        <v>1</v>
      </c>
      <c r="T8" s="226"/>
      <c r="U8" s="227" t="s">
        <v>58</v>
      </c>
      <c r="V8" s="228">
        <v>1883</v>
      </c>
      <c r="W8" s="229">
        <v>24</v>
      </c>
      <c r="X8" s="226"/>
      <c r="Y8" s="230" t="s">
        <v>59</v>
      </c>
      <c r="Z8" s="226"/>
      <c r="AA8" s="231" t="s">
        <v>60</v>
      </c>
    </row>
    <row r="9" spans="1:28" s="232" customFormat="1" ht="30" customHeight="1" thickBot="1">
      <c r="A9" s="384"/>
      <c r="B9" s="388"/>
      <c r="C9" s="219"/>
      <c r="D9" s="219">
        <v>1</v>
      </c>
      <c r="E9" s="219"/>
      <c r="F9" s="219"/>
      <c r="G9" s="233">
        <v>2</v>
      </c>
      <c r="H9" s="256">
        <v>5</v>
      </c>
      <c r="I9" s="254" t="s">
        <v>61</v>
      </c>
      <c r="J9" s="222" t="s">
        <v>62</v>
      </c>
      <c r="K9" s="222" t="s">
        <v>63</v>
      </c>
      <c r="L9" s="222" t="s">
        <v>63</v>
      </c>
      <c r="M9" s="229" t="s">
        <v>64</v>
      </c>
      <c r="N9" s="234" t="s">
        <v>65</v>
      </c>
      <c r="O9" s="229" t="s">
        <v>14</v>
      </c>
      <c r="P9" s="225"/>
      <c r="Q9" s="224">
        <v>0</v>
      </c>
      <c r="R9" s="235"/>
      <c r="S9" s="224">
        <v>1</v>
      </c>
      <c r="T9" s="235"/>
      <c r="U9" s="236" t="s">
        <v>58</v>
      </c>
      <c r="V9" s="237">
        <v>188</v>
      </c>
      <c r="W9" s="229">
        <v>20</v>
      </c>
      <c r="X9" s="235"/>
      <c r="Y9" s="236" t="s">
        <v>66</v>
      </c>
      <c r="Z9" s="235"/>
      <c r="AA9" s="231" t="s">
        <v>60</v>
      </c>
    </row>
    <row r="10" spans="1:28" s="232" customFormat="1" ht="30" customHeight="1" thickBot="1">
      <c r="A10" s="384"/>
      <c r="B10" s="388"/>
      <c r="C10" s="238"/>
      <c r="D10" s="238">
        <v>1</v>
      </c>
      <c r="E10" s="238"/>
      <c r="F10" s="238"/>
      <c r="G10" s="239">
        <v>3</v>
      </c>
      <c r="H10" s="256">
        <v>5</v>
      </c>
      <c r="I10" s="254" t="s">
        <v>67</v>
      </c>
      <c r="J10" s="222" t="s">
        <v>68</v>
      </c>
      <c r="K10" s="222" t="s">
        <v>69</v>
      </c>
      <c r="L10" s="222" t="s">
        <v>69</v>
      </c>
      <c r="M10" s="229" t="s">
        <v>70</v>
      </c>
      <c r="N10" s="234" t="s">
        <v>71</v>
      </c>
      <c r="O10" s="229" t="s">
        <v>14</v>
      </c>
      <c r="P10" s="225"/>
      <c r="Q10" s="229">
        <v>0</v>
      </c>
      <c r="R10" s="240"/>
      <c r="S10" s="229">
        <v>1</v>
      </c>
      <c r="T10" s="240"/>
      <c r="U10" s="236" t="s">
        <v>58</v>
      </c>
      <c r="V10" s="237">
        <v>348</v>
      </c>
      <c r="W10" s="229">
        <v>20</v>
      </c>
      <c r="X10" s="240"/>
      <c r="Y10" s="236" t="s">
        <v>66</v>
      </c>
      <c r="Z10" s="240"/>
      <c r="AA10" s="231" t="s">
        <v>60</v>
      </c>
    </row>
    <row r="11" spans="1:28" s="232" customFormat="1" ht="30" customHeight="1" thickBot="1">
      <c r="A11" s="384"/>
      <c r="B11" s="388"/>
      <c r="C11" s="238"/>
      <c r="D11" s="238">
        <v>1</v>
      </c>
      <c r="E11" s="238"/>
      <c r="F11" s="238"/>
      <c r="G11" s="239">
        <v>4</v>
      </c>
      <c r="H11" s="257">
        <v>5</v>
      </c>
      <c r="I11" s="254" t="s">
        <v>72</v>
      </c>
      <c r="J11" s="222" t="s">
        <v>73</v>
      </c>
      <c r="K11" s="222" t="s">
        <v>74</v>
      </c>
      <c r="L11" s="222" t="s">
        <v>74</v>
      </c>
      <c r="M11" s="229" t="s">
        <v>75</v>
      </c>
      <c r="N11" s="234" t="s">
        <v>65</v>
      </c>
      <c r="O11" s="229" t="s">
        <v>14</v>
      </c>
      <c r="P11" s="225"/>
      <c r="Q11" s="229">
        <v>0</v>
      </c>
      <c r="R11" s="240"/>
      <c r="S11" s="229">
        <v>1</v>
      </c>
      <c r="T11" s="240"/>
      <c r="U11" s="236" t="s">
        <v>58</v>
      </c>
      <c r="V11" s="237">
        <v>82</v>
      </c>
      <c r="W11" s="229">
        <v>20</v>
      </c>
      <c r="X11" s="240"/>
      <c r="Y11" s="236" t="s">
        <v>80</v>
      </c>
      <c r="Z11" s="240"/>
      <c r="AA11" s="231" t="s">
        <v>60</v>
      </c>
    </row>
    <row r="12" spans="1:28" s="232" customFormat="1" ht="30" customHeight="1" thickBot="1">
      <c r="A12" s="384"/>
      <c r="B12" s="388"/>
      <c r="C12" s="238"/>
      <c r="D12" s="238">
        <v>1</v>
      </c>
      <c r="E12" s="238"/>
      <c r="F12" s="238"/>
      <c r="G12" s="242">
        <v>5</v>
      </c>
      <c r="H12" s="257">
        <v>5</v>
      </c>
      <c r="I12" s="254" t="s">
        <v>76</v>
      </c>
      <c r="J12" s="222" t="s">
        <v>77</v>
      </c>
      <c r="K12" s="222" t="s">
        <v>78</v>
      </c>
      <c r="L12" s="222" t="s">
        <v>78</v>
      </c>
      <c r="M12" s="229" t="s">
        <v>79</v>
      </c>
      <c r="N12" s="326" t="s">
        <v>65</v>
      </c>
      <c r="O12" s="229" t="s">
        <v>14</v>
      </c>
      <c r="P12" s="225"/>
      <c r="Q12" s="229">
        <v>0</v>
      </c>
      <c r="R12" s="240"/>
      <c r="S12" s="241">
        <v>1</v>
      </c>
      <c r="T12" s="240"/>
      <c r="U12" s="236" t="s">
        <v>58</v>
      </c>
      <c r="V12" s="237">
        <v>163</v>
      </c>
      <c r="W12" s="229">
        <v>20</v>
      </c>
      <c r="X12" s="240"/>
      <c r="Y12" s="236" t="s">
        <v>66</v>
      </c>
      <c r="Z12" s="240"/>
      <c r="AA12" s="231" t="s">
        <v>60</v>
      </c>
    </row>
    <row r="13" spans="1:28" s="232" customFormat="1" ht="30" customHeight="1" thickBot="1">
      <c r="A13" s="384"/>
      <c r="B13" s="388"/>
      <c r="C13" s="238"/>
      <c r="D13" s="238">
        <v>1</v>
      </c>
      <c r="E13" s="238"/>
      <c r="F13" s="238"/>
      <c r="G13" s="220">
        <v>6</v>
      </c>
      <c r="H13" s="257">
        <v>5</v>
      </c>
      <c r="I13" s="254" t="s">
        <v>81</v>
      </c>
      <c r="J13" s="222" t="s">
        <v>82</v>
      </c>
      <c r="K13" s="222" t="s">
        <v>83</v>
      </c>
      <c r="L13" s="222" t="s">
        <v>83</v>
      </c>
      <c r="M13" s="324" t="s">
        <v>56</v>
      </c>
      <c r="N13" s="327" t="s">
        <v>57</v>
      </c>
      <c r="O13" s="325" t="s">
        <v>14</v>
      </c>
      <c r="P13" s="225"/>
      <c r="Q13" s="229">
        <v>0</v>
      </c>
      <c r="R13" s="240"/>
      <c r="S13" s="241">
        <v>1</v>
      </c>
      <c r="T13" s="240"/>
      <c r="U13" s="236" t="s">
        <v>58</v>
      </c>
      <c r="V13" s="237">
        <v>3045</v>
      </c>
      <c r="W13" s="229">
        <v>24</v>
      </c>
      <c r="X13" s="240"/>
      <c r="Y13" s="236" t="s">
        <v>59</v>
      </c>
      <c r="Z13" s="240"/>
      <c r="AA13" s="231" t="s">
        <v>60</v>
      </c>
    </row>
    <row r="14" spans="1:28" s="232" customFormat="1" ht="79.900000000000006" customHeight="1" thickBot="1">
      <c r="A14" s="384"/>
      <c r="B14" s="388"/>
      <c r="C14" s="238"/>
      <c r="D14" s="238"/>
      <c r="E14" s="238">
        <v>1</v>
      </c>
      <c r="F14" s="238"/>
      <c r="G14" s="220">
        <v>7</v>
      </c>
      <c r="H14" s="257">
        <v>4</v>
      </c>
      <c r="I14" s="254" t="s">
        <v>53</v>
      </c>
      <c r="J14" s="222" t="s">
        <v>84</v>
      </c>
      <c r="K14" s="222" t="s">
        <v>85</v>
      </c>
      <c r="L14" s="222" t="s">
        <v>85</v>
      </c>
      <c r="M14" s="229" t="s">
        <v>56</v>
      </c>
      <c r="N14" s="246" t="s">
        <v>57</v>
      </c>
      <c r="O14" s="229" t="s">
        <v>14</v>
      </c>
      <c r="P14" s="225"/>
      <c r="Q14" s="229">
        <v>0</v>
      </c>
      <c r="R14" s="240"/>
      <c r="S14" s="241">
        <v>1</v>
      </c>
      <c r="T14" s="240"/>
      <c r="U14" s="236" t="s">
        <v>58</v>
      </c>
      <c r="V14" s="243">
        <v>1530</v>
      </c>
      <c r="W14" s="225">
        <v>24</v>
      </c>
      <c r="X14" s="240"/>
      <c r="Y14" s="236" t="s">
        <v>59</v>
      </c>
      <c r="Z14" s="240"/>
      <c r="AA14" s="231" t="s">
        <v>60</v>
      </c>
    </row>
    <row r="15" spans="1:28" s="232" customFormat="1" ht="79.900000000000006" customHeight="1" thickBot="1">
      <c r="A15" s="384"/>
      <c r="B15" s="388"/>
      <c r="C15" s="238"/>
      <c r="D15" s="238"/>
      <c r="E15" s="238"/>
      <c r="F15" s="238">
        <v>1</v>
      </c>
      <c r="G15" s="233">
        <v>8</v>
      </c>
      <c r="H15" s="257">
        <v>4</v>
      </c>
      <c r="I15" s="254" t="s">
        <v>86</v>
      </c>
      <c r="J15" s="222" t="s">
        <v>87</v>
      </c>
      <c r="K15" s="222" t="s">
        <v>88</v>
      </c>
      <c r="L15" s="222" t="s">
        <v>88</v>
      </c>
      <c r="M15" s="229" t="s">
        <v>56</v>
      </c>
      <c r="N15" s="234" t="s">
        <v>57</v>
      </c>
      <c r="O15" s="229" t="s">
        <v>14</v>
      </c>
      <c r="P15" s="225"/>
      <c r="Q15" s="229">
        <v>0</v>
      </c>
      <c r="R15" s="240"/>
      <c r="S15" s="241">
        <v>1</v>
      </c>
      <c r="T15" s="240"/>
      <c r="U15" s="236" t="s">
        <v>58</v>
      </c>
      <c r="V15" s="244">
        <v>503</v>
      </c>
      <c r="W15" s="225">
        <v>24</v>
      </c>
      <c r="X15" s="240"/>
      <c r="Y15" s="236" t="s">
        <v>59</v>
      </c>
      <c r="Z15" s="240"/>
      <c r="AA15" s="231" t="s">
        <v>60</v>
      </c>
    </row>
    <row r="16" spans="1:28" s="232" customFormat="1" ht="79.900000000000006" customHeight="1">
      <c r="A16" s="384"/>
      <c r="B16" s="388"/>
      <c r="C16" s="238"/>
      <c r="D16" s="238"/>
      <c r="E16" s="238"/>
      <c r="F16" s="238"/>
      <c r="G16" s="239">
        <v>9</v>
      </c>
      <c r="H16" s="257">
        <v>4</v>
      </c>
      <c r="I16" s="254" t="s">
        <v>89</v>
      </c>
      <c r="J16" s="222" t="s">
        <v>87</v>
      </c>
      <c r="K16" s="222" t="s">
        <v>90</v>
      </c>
      <c r="L16" s="222" t="s">
        <v>90</v>
      </c>
      <c r="M16" s="229" t="s">
        <v>56</v>
      </c>
      <c r="N16" s="234" t="s">
        <v>57</v>
      </c>
      <c r="O16" s="229" t="s">
        <v>14</v>
      </c>
      <c r="P16" s="225"/>
      <c r="Q16" s="229">
        <v>0</v>
      </c>
      <c r="R16" s="240"/>
      <c r="S16" s="241">
        <v>1</v>
      </c>
      <c r="T16" s="240"/>
      <c r="U16" s="236" t="s">
        <v>58</v>
      </c>
      <c r="V16" s="237">
        <v>667</v>
      </c>
      <c r="W16" s="225">
        <v>24</v>
      </c>
      <c r="X16" s="240"/>
      <c r="Y16" s="236" t="s">
        <v>59</v>
      </c>
      <c r="Z16" s="240"/>
      <c r="AA16" s="231" t="s">
        <v>60</v>
      </c>
    </row>
    <row r="17" spans="1:27" s="232" customFormat="1" ht="25.9" customHeight="1">
      <c r="A17" s="384"/>
      <c r="B17" s="388"/>
      <c r="C17" s="238"/>
      <c r="D17" s="238"/>
      <c r="E17" s="238"/>
      <c r="F17" s="238"/>
      <c r="G17" s="239">
        <v>10</v>
      </c>
      <c r="H17" s="257">
        <v>2</v>
      </c>
      <c r="I17" s="254" t="s">
        <v>91</v>
      </c>
      <c r="J17" s="222" t="s">
        <v>92</v>
      </c>
      <c r="K17" s="222" t="s">
        <v>93</v>
      </c>
      <c r="L17" s="222" t="s">
        <v>93</v>
      </c>
      <c r="M17" s="229" t="s">
        <v>94</v>
      </c>
      <c r="N17" s="234" t="s">
        <v>65</v>
      </c>
      <c r="O17" s="229" t="s">
        <v>14</v>
      </c>
      <c r="P17" s="224"/>
      <c r="Q17" s="229">
        <v>0</v>
      </c>
      <c r="R17" s="240"/>
      <c r="S17" s="241">
        <v>1</v>
      </c>
      <c r="T17" s="240"/>
      <c r="U17" s="236" t="s">
        <v>58</v>
      </c>
      <c r="V17" s="237">
        <v>123</v>
      </c>
      <c r="W17" s="229">
        <v>20</v>
      </c>
      <c r="X17" s="240"/>
      <c r="Y17" s="236" t="s">
        <v>66</v>
      </c>
      <c r="Z17" s="240"/>
      <c r="AA17" s="245" t="s">
        <v>60</v>
      </c>
    </row>
    <row r="18" spans="1:27" s="232" customFormat="1" ht="37.9" customHeight="1" thickBot="1">
      <c r="A18" s="384"/>
      <c r="B18" s="388"/>
      <c r="C18" s="238"/>
      <c r="D18" s="238"/>
      <c r="E18" s="238"/>
      <c r="F18" s="238"/>
      <c r="G18" s="242">
        <v>11</v>
      </c>
      <c r="H18" s="257">
        <v>2</v>
      </c>
      <c r="I18" s="254" t="s">
        <v>1802</v>
      </c>
      <c r="J18" s="222" t="s">
        <v>96</v>
      </c>
      <c r="K18" s="222" t="s">
        <v>97</v>
      </c>
      <c r="L18" s="222" t="s">
        <v>97</v>
      </c>
      <c r="M18" s="229" t="s">
        <v>70</v>
      </c>
      <c r="N18" s="234" t="s">
        <v>71</v>
      </c>
      <c r="O18" s="229" t="s">
        <v>14</v>
      </c>
      <c r="P18" s="225"/>
      <c r="Q18" s="229">
        <v>0</v>
      </c>
      <c r="R18" s="240"/>
      <c r="S18" s="241">
        <v>1</v>
      </c>
      <c r="T18" s="240"/>
      <c r="U18" s="236" t="s">
        <v>58</v>
      </c>
      <c r="V18" s="237">
        <v>392</v>
      </c>
      <c r="W18" s="229">
        <v>20</v>
      </c>
      <c r="X18" s="240"/>
      <c r="Y18" s="236" t="s">
        <v>80</v>
      </c>
      <c r="Z18" s="240"/>
      <c r="AA18" s="245" t="s">
        <v>60</v>
      </c>
    </row>
    <row r="19" spans="1:27" s="232" customFormat="1" ht="25.9" customHeight="1" thickBot="1">
      <c r="A19" s="384"/>
      <c r="B19" s="388"/>
      <c r="C19" s="238"/>
      <c r="D19" s="238"/>
      <c r="E19" s="238"/>
      <c r="F19" s="238"/>
      <c r="G19" s="220">
        <v>12</v>
      </c>
      <c r="H19" s="257">
        <v>2</v>
      </c>
      <c r="I19" s="254" t="s">
        <v>1814</v>
      </c>
      <c r="J19" s="222" t="s">
        <v>99</v>
      </c>
      <c r="K19" s="222" t="s">
        <v>100</v>
      </c>
      <c r="L19" s="222" t="s">
        <v>100</v>
      </c>
      <c r="M19" s="229" t="s">
        <v>75</v>
      </c>
      <c r="N19" s="246" t="s">
        <v>65</v>
      </c>
      <c r="O19" s="229" t="s">
        <v>14</v>
      </c>
      <c r="P19" s="225"/>
      <c r="Q19" s="229">
        <v>0</v>
      </c>
      <c r="R19" s="240"/>
      <c r="S19" s="241">
        <v>1</v>
      </c>
      <c r="T19" s="240"/>
      <c r="U19" s="236" t="s">
        <v>58</v>
      </c>
      <c r="V19" s="237">
        <v>82</v>
      </c>
      <c r="W19" s="229">
        <v>20</v>
      </c>
      <c r="X19" s="240"/>
      <c r="Y19" s="236" t="s">
        <v>66</v>
      </c>
      <c r="Z19" s="240"/>
      <c r="AA19" s="245" t="s">
        <v>60</v>
      </c>
    </row>
    <row r="20" spans="1:27" s="232" customFormat="1" ht="25.9" customHeight="1">
      <c r="A20" s="384"/>
      <c r="B20" s="388"/>
      <c r="C20" s="238"/>
      <c r="D20" s="238"/>
      <c r="E20" s="238"/>
      <c r="F20" s="238"/>
      <c r="G20" s="220">
        <v>13</v>
      </c>
      <c r="H20" s="257">
        <v>2</v>
      </c>
      <c r="I20" s="254" t="s">
        <v>101</v>
      </c>
      <c r="J20" s="222" t="s">
        <v>87</v>
      </c>
      <c r="K20" s="222" t="s">
        <v>102</v>
      </c>
      <c r="L20" s="222" t="s">
        <v>102</v>
      </c>
      <c r="M20" s="229" t="s">
        <v>56</v>
      </c>
      <c r="N20" s="234" t="s">
        <v>57</v>
      </c>
      <c r="O20" s="229" t="s">
        <v>14</v>
      </c>
      <c r="P20" s="225"/>
      <c r="Q20" s="229">
        <v>0</v>
      </c>
      <c r="R20" s="240"/>
      <c r="S20" s="241">
        <v>1</v>
      </c>
      <c r="T20" s="240"/>
      <c r="U20" s="236" t="s">
        <v>58</v>
      </c>
      <c r="V20" s="237">
        <v>1080</v>
      </c>
      <c r="W20" s="247">
        <v>24</v>
      </c>
      <c r="X20" s="240"/>
      <c r="Y20" s="236" t="s">
        <v>59</v>
      </c>
      <c r="Z20" s="240"/>
      <c r="AA20" s="245" t="s">
        <v>60</v>
      </c>
    </row>
    <row r="21" spans="1:27" s="232" customFormat="1" ht="79.900000000000006" customHeight="1">
      <c r="A21" s="384"/>
      <c r="B21" s="388"/>
      <c r="C21" s="238"/>
      <c r="D21" s="238"/>
      <c r="E21" s="238"/>
      <c r="F21" s="238"/>
      <c r="G21" s="233">
        <v>14</v>
      </c>
      <c r="H21" s="257">
        <v>4</v>
      </c>
      <c r="I21" s="254" t="s">
        <v>103</v>
      </c>
      <c r="J21" s="222" t="s">
        <v>104</v>
      </c>
      <c r="K21" s="222" t="s">
        <v>105</v>
      </c>
      <c r="L21" s="222" t="s">
        <v>105</v>
      </c>
      <c r="M21" s="229" t="s">
        <v>56</v>
      </c>
      <c r="N21" s="234" t="s">
        <v>57</v>
      </c>
      <c r="O21" s="229" t="s">
        <v>14</v>
      </c>
      <c r="P21" s="225"/>
      <c r="Q21" s="229">
        <v>0</v>
      </c>
      <c r="R21" s="240"/>
      <c r="S21" s="241">
        <v>1</v>
      </c>
      <c r="T21" s="240"/>
      <c r="U21" s="236" t="s">
        <v>58</v>
      </c>
      <c r="V21" s="237">
        <v>637</v>
      </c>
      <c r="W21" s="247">
        <v>24</v>
      </c>
      <c r="X21" s="240"/>
      <c r="Y21" s="236" t="s">
        <v>59</v>
      </c>
      <c r="Z21" s="240"/>
      <c r="AA21" s="245" t="s">
        <v>60</v>
      </c>
    </row>
    <row r="22" spans="1:27" s="232" customFormat="1" ht="79.900000000000006" customHeight="1">
      <c r="A22" s="384"/>
      <c r="B22" s="388"/>
      <c r="C22" s="238"/>
      <c r="D22" s="238"/>
      <c r="E22" s="238"/>
      <c r="F22" s="238"/>
      <c r="G22" s="239">
        <v>15</v>
      </c>
      <c r="H22" s="257">
        <v>7</v>
      </c>
      <c r="I22" s="254" t="s">
        <v>106</v>
      </c>
      <c r="J22" s="222" t="s">
        <v>104</v>
      </c>
      <c r="K22" s="222" t="s">
        <v>107</v>
      </c>
      <c r="L22" s="222" t="s">
        <v>107</v>
      </c>
      <c r="M22" s="229" t="s">
        <v>56</v>
      </c>
      <c r="N22" s="234" t="s">
        <v>57</v>
      </c>
      <c r="O22" s="229" t="s">
        <v>14</v>
      </c>
      <c r="P22" s="225"/>
      <c r="Q22" s="229">
        <v>0</v>
      </c>
      <c r="R22" s="240"/>
      <c r="S22" s="241">
        <v>1</v>
      </c>
      <c r="T22" s="240"/>
      <c r="U22" s="236" t="s">
        <v>58</v>
      </c>
      <c r="V22" s="237">
        <v>873</v>
      </c>
      <c r="W22" s="247">
        <v>24</v>
      </c>
      <c r="X22" s="240"/>
      <c r="Y22" s="236" t="s">
        <v>59</v>
      </c>
      <c r="Z22" s="240"/>
      <c r="AA22" s="245" t="s">
        <v>60</v>
      </c>
    </row>
    <row r="23" spans="1:27" s="232" customFormat="1" ht="79.900000000000006" customHeight="1">
      <c r="A23" s="384"/>
      <c r="B23" s="388"/>
      <c r="C23" s="238"/>
      <c r="D23" s="238"/>
      <c r="E23" s="238"/>
      <c r="F23" s="238"/>
      <c r="G23" s="239">
        <v>16</v>
      </c>
      <c r="H23" s="257">
        <v>4</v>
      </c>
      <c r="I23" s="254" t="s">
        <v>108</v>
      </c>
      <c r="J23" s="222" t="s">
        <v>109</v>
      </c>
      <c r="K23" s="222" t="s">
        <v>110</v>
      </c>
      <c r="L23" s="222" t="s">
        <v>110</v>
      </c>
      <c r="M23" s="229" t="s">
        <v>56</v>
      </c>
      <c r="N23" s="234" t="s">
        <v>57</v>
      </c>
      <c r="O23" s="229" t="s">
        <v>14</v>
      </c>
      <c r="P23" s="225"/>
      <c r="Q23" s="229">
        <v>0</v>
      </c>
      <c r="R23" s="240"/>
      <c r="S23" s="241">
        <v>1</v>
      </c>
      <c r="T23" s="240"/>
      <c r="U23" s="236" t="s">
        <v>58</v>
      </c>
      <c r="V23" s="237">
        <v>1087</v>
      </c>
      <c r="W23" s="247">
        <v>24</v>
      </c>
      <c r="X23" s="240"/>
      <c r="Y23" s="236" t="s">
        <v>59</v>
      </c>
      <c r="Z23" s="240"/>
      <c r="AA23" s="245" t="s">
        <v>60</v>
      </c>
    </row>
    <row r="24" spans="1:27" s="232" customFormat="1" ht="79.900000000000006" customHeight="1" thickBot="1">
      <c r="A24" s="384"/>
      <c r="B24" s="388"/>
      <c r="C24" s="238"/>
      <c r="D24" s="238"/>
      <c r="E24" s="238"/>
      <c r="F24" s="238"/>
      <c r="G24" s="242">
        <v>17</v>
      </c>
      <c r="H24" s="257">
        <v>2</v>
      </c>
      <c r="I24" s="254" t="s">
        <v>111</v>
      </c>
      <c r="J24" s="222" t="s">
        <v>112</v>
      </c>
      <c r="K24" s="222" t="s">
        <v>113</v>
      </c>
      <c r="L24" s="222" t="s">
        <v>113</v>
      </c>
      <c r="M24" s="229" t="s">
        <v>56</v>
      </c>
      <c r="N24" s="234" t="s">
        <v>57</v>
      </c>
      <c r="O24" s="229" t="s">
        <v>14</v>
      </c>
      <c r="P24" s="225"/>
      <c r="Q24" s="229">
        <v>0</v>
      </c>
      <c r="R24" s="240"/>
      <c r="S24" s="241">
        <v>1</v>
      </c>
      <c r="T24" s="240"/>
      <c r="U24" s="236" t="s">
        <v>58</v>
      </c>
      <c r="V24" s="237">
        <v>719</v>
      </c>
      <c r="W24" s="247">
        <v>24</v>
      </c>
      <c r="X24" s="240"/>
      <c r="Y24" s="236" t="s">
        <v>59</v>
      </c>
      <c r="Z24" s="240"/>
      <c r="AA24" s="245" t="s">
        <v>60</v>
      </c>
    </row>
    <row r="25" spans="1:27" s="232" customFormat="1" ht="79.900000000000006" customHeight="1" thickBot="1">
      <c r="A25" s="384"/>
      <c r="B25" s="388"/>
      <c r="C25" s="238"/>
      <c r="D25" s="238"/>
      <c r="E25" s="238"/>
      <c r="F25" s="238"/>
      <c r="G25" s="220">
        <v>18</v>
      </c>
      <c r="H25" s="257">
        <v>130</v>
      </c>
      <c r="I25" s="254" t="s">
        <v>114</v>
      </c>
      <c r="J25" s="222" t="s">
        <v>115</v>
      </c>
      <c r="K25" s="222" t="s">
        <v>116</v>
      </c>
      <c r="L25" s="222" t="s">
        <v>116</v>
      </c>
      <c r="M25" s="229" t="s">
        <v>56</v>
      </c>
      <c r="N25" s="234" t="s">
        <v>57</v>
      </c>
      <c r="O25" s="229" t="s">
        <v>14</v>
      </c>
      <c r="P25" s="225"/>
      <c r="Q25" s="229">
        <v>0</v>
      </c>
      <c r="R25" s="240"/>
      <c r="S25" s="241">
        <v>14</v>
      </c>
      <c r="T25" s="240"/>
      <c r="U25" s="236" t="s">
        <v>58</v>
      </c>
      <c r="V25" s="237">
        <v>743</v>
      </c>
      <c r="W25" s="247">
        <v>24</v>
      </c>
      <c r="X25" s="240"/>
      <c r="Y25" s="236" t="s">
        <v>59</v>
      </c>
      <c r="Z25" s="240"/>
      <c r="AA25" s="245" t="s">
        <v>60</v>
      </c>
    </row>
    <row r="26" spans="1:27" s="232" customFormat="1" ht="79.900000000000006" customHeight="1">
      <c r="A26" s="384"/>
      <c r="B26" s="388"/>
      <c r="C26" s="238"/>
      <c r="D26" s="238"/>
      <c r="E26" s="238"/>
      <c r="F26" s="238"/>
      <c r="G26" s="220">
        <v>19</v>
      </c>
      <c r="H26" s="257">
        <v>7</v>
      </c>
      <c r="I26" s="254" t="s">
        <v>117</v>
      </c>
      <c r="J26" s="222" t="s">
        <v>118</v>
      </c>
      <c r="K26" s="222" t="s">
        <v>119</v>
      </c>
      <c r="L26" s="222" t="s">
        <v>119</v>
      </c>
      <c r="M26" s="229" t="s">
        <v>56</v>
      </c>
      <c r="N26" s="234" t="s">
        <v>57</v>
      </c>
      <c r="O26" s="229" t="s">
        <v>14</v>
      </c>
      <c r="P26" s="225"/>
      <c r="Q26" s="229">
        <v>0</v>
      </c>
      <c r="R26" s="240"/>
      <c r="S26" s="241">
        <v>1</v>
      </c>
      <c r="T26" s="240"/>
      <c r="U26" s="236" t="s">
        <v>58</v>
      </c>
      <c r="V26" s="237">
        <v>648</v>
      </c>
      <c r="W26" s="247">
        <v>24</v>
      </c>
      <c r="X26" s="240"/>
      <c r="Y26" s="236" t="s">
        <v>59</v>
      </c>
      <c r="Z26" s="240"/>
      <c r="AA26" s="245" t="s">
        <v>60</v>
      </c>
    </row>
    <row r="27" spans="1:27" s="232" customFormat="1" ht="25.9" customHeight="1">
      <c r="A27" s="384"/>
      <c r="B27" s="388"/>
      <c r="C27" s="238"/>
      <c r="D27" s="238"/>
      <c r="E27" s="238"/>
      <c r="F27" s="238"/>
      <c r="G27" s="233">
        <v>20</v>
      </c>
      <c r="H27" s="257">
        <v>4</v>
      </c>
      <c r="I27" s="254" t="s">
        <v>120</v>
      </c>
      <c r="J27" s="222" t="s">
        <v>121</v>
      </c>
      <c r="K27" s="222" t="s">
        <v>122</v>
      </c>
      <c r="L27" s="222" t="s">
        <v>122</v>
      </c>
      <c r="M27" s="229" t="s">
        <v>123</v>
      </c>
      <c r="N27" s="246" t="s">
        <v>65</v>
      </c>
      <c r="O27" s="229" t="s">
        <v>14</v>
      </c>
      <c r="P27" s="225"/>
      <c r="Q27" s="229">
        <v>0</v>
      </c>
      <c r="R27" s="240"/>
      <c r="S27" s="241">
        <v>1</v>
      </c>
      <c r="T27" s="240"/>
      <c r="U27" s="236" t="s">
        <v>58</v>
      </c>
      <c r="V27" s="237">
        <v>167</v>
      </c>
      <c r="W27" s="247">
        <v>22</v>
      </c>
      <c r="X27" s="240"/>
      <c r="Y27" s="236" t="s">
        <v>66</v>
      </c>
      <c r="Z27" s="240"/>
      <c r="AA27" s="245" t="s">
        <v>60</v>
      </c>
    </row>
    <row r="28" spans="1:27" s="232" customFormat="1" ht="25.9" customHeight="1">
      <c r="A28" s="384"/>
      <c r="B28" s="388"/>
      <c r="C28" s="238"/>
      <c r="D28" s="238"/>
      <c r="E28" s="238"/>
      <c r="F28" s="238"/>
      <c r="G28" s="239">
        <v>21</v>
      </c>
      <c r="H28" s="257">
        <v>4</v>
      </c>
      <c r="I28" s="254" t="s">
        <v>1815</v>
      </c>
      <c r="J28" s="222" t="s">
        <v>125</v>
      </c>
      <c r="K28" s="222" t="s">
        <v>126</v>
      </c>
      <c r="L28" s="222" t="s">
        <v>126</v>
      </c>
      <c r="M28" s="229" t="s">
        <v>127</v>
      </c>
      <c r="N28" s="246" t="s">
        <v>65</v>
      </c>
      <c r="O28" s="229" t="s">
        <v>14</v>
      </c>
      <c r="P28" s="225"/>
      <c r="Q28" s="229">
        <v>0</v>
      </c>
      <c r="R28" s="240"/>
      <c r="S28" s="241">
        <v>1</v>
      </c>
      <c r="T28" s="240"/>
      <c r="U28" s="236" t="s">
        <v>58</v>
      </c>
      <c r="V28" s="237">
        <v>144</v>
      </c>
      <c r="W28" s="247">
        <v>22</v>
      </c>
      <c r="X28" s="240"/>
      <c r="Y28" s="236" t="s">
        <v>80</v>
      </c>
      <c r="Z28" s="240"/>
      <c r="AA28" s="245" t="s">
        <v>60</v>
      </c>
    </row>
    <row r="29" spans="1:27" s="232" customFormat="1" ht="25.9" customHeight="1">
      <c r="A29" s="384"/>
      <c r="B29" s="388"/>
      <c r="C29" s="238"/>
      <c r="D29" s="238"/>
      <c r="E29" s="238"/>
      <c r="F29" s="238"/>
      <c r="G29" s="239">
        <v>22</v>
      </c>
      <c r="H29" s="257">
        <v>4</v>
      </c>
      <c r="I29" s="254" t="s">
        <v>128</v>
      </c>
      <c r="J29" s="222" t="s">
        <v>129</v>
      </c>
      <c r="K29" s="222" t="s">
        <v>130</v>
      </c>
      <c r="L29" s="222" t="s">
        <v>130</v>
      </c>
      <c r="M29" s="229" t="s">
        <v>127</v>
      </c>
      <c r="N29" s="246" t="s">
        <v>65</v>
      </c>
      <c r="O29" s="229" t="s">
        <v>14</v>
      </c>
      <c r="P29" s="225"/>
      <c r="Q29" s="229">
        <v>0</v>
      </c>
      <c r="R29" s="240"/>
      <c r="S29" s="241">
        <v>1</v>
      </c>
      <c r="T29" s="240"/>
      <c r="U29" s="236" t="s">
        <v>58</v>
      </c>
      <c r="V29" s="237">
        <v>122</v>
      </c>
      <c r="W29" s="247">
        <v>22</v>
      </c>
      <c r="X29" s="240"/>
      <c r="Y29" s="236" t="s">
        <v>66</v>
      </c>
      <c r="Z29" s="240"/>
      <c r="AA29" s="245" t="s">
        <v>60</v>
      </c>
    </row>
    <row r="30" spans="1:27" s="232" customFormat="1" ht="25.9" customHeight="1" thickBot="1">
      <c r="A30" s="384"/>
      <c r="B30" s="388"/>
      <c r="C30" s="238"/>
      <c r="D30" s="238"/>
      <c r="E30" s="238"/>
      <c r="F30" s="238"/>
      <c r="G30" s="242">
        <v>23</v>
      </c>
      <c r="H30" s="257">
        <v>4</v>
      </c>
      <c r="I30" s="254" t="s">
        <v>131</v>
      </c>
      <c r="J30" s="222" t="s">
        <v>132</v>
      </c>
      <c r="K30" s="222" t="s">
        <v>133</v>
      </c>
      <c r="L30" s="222" t="s">
        <v>133</v>
      </c>
      <c r="M30" s="229" t="s">
        <v>56</v>
      </c>
      <c r="N30" s="234" t="s">
        <v>57</v>
      </c>
      <c r="O30" s="229" t="s">
        <v>14</v>
      </c>
      <c r="P30" s="225"/>
      <c r="Q30" s="229">
        <v>0</v>
      </c>
      <c r="R30" s="240"/>
      <c r="S30" s="241">
        <v>1</v>
      </c>
      <c r="T30" s="240"/>
      <c r="U30" s="236" t="s">
        <v>58</v>
      </c>
      <c r="V30" s="237">
        <v>1197</v>
      </c>
      <c r="W30" s="247">
        <v>24</v>
      </c>
      <c r="X30" s="240"/>
      <c r="Y30" s="236" t="s">
        <v>59</v>
      </c>
      <c r="Z30" s="240"/>
      <c r="AA30" s="245" t="s">
        <v>60</v>
      </c>
    </row>
    <row r="31" spans="1:27" s="232" customFormat="1" ht="114.75" customHeight="1" thickBot="1">
      <c r="A31" s="384"/>
      <c r="B31" s="388"/>
      <c r="C31" s="238"/>
      <c r="D31" s="238"/>
      <c r="E31" s="238"/>
      <c r="F31" s="238"/>
      <c r="G31" s="220">
        <v>24</v>
      </c>
      <c r="H31" s="257">
        <v>80</v>
      </c>
      <c r="I31" s="255" t="s">
        <v>134</v>
      </c>
      <c r="J31" s="222" t="s">
        <v>135</v>
      </c>
      <c r="K31" s="222" t="s">
        <v>136</v>
      </c>
      <c r="L31" s="222" t="s">
        <v>136</v>
      </c>
      <c r="M31" s="229" t="s">
        <v>56</v>
      </c>
      <c r="N31" s="234" t="s">
        <v>57</v>
      </c>
      <c r="O31" s="229" t="s">
        <v>14</v>
      </c>
      <c r="P31" s="225"/>
      <c r="Q31" s="229">
        <v>0</v>
      </c>
      <c r="R31" s="240"/>
      <c r="S31" s="241">
        <v>1</v>
      </c>
      <c r="T31" s="240"/>
      <c r="U31" s="236" t="s">
        <v>58</v>
      </c>
      <c r="V31" s="237">
        <v>595</v>
      </c>
      <c r="W31" s="247">
        <v>24</v>
      </c>
      <c r="X31" s="240"/>
      <c r="Y31" s="236" t="s">
        <v>59</v>
      </c>
      <c r="Z31" s="240"/>
      <c r="AA31" s="245" t="s">
        <v>60</v>
      </c>
    </row>
    <row r="32" spans="1:27" ht="35.450000000000003" customHeight="1">
      <c r="A32" s="385">
        <v>6</v>
      </c>
      <c r="B32" s="389" t="s">
        <v>137</v>
      </c>
      <c r="C32" s="335" t="s">
        <v>138</v>
      </c>
      <c r="D32" s="133"/>
      <c r="E32" s="133"/>
      <c r="F32" s="338"/>
      <c r="G32" s="341"/>
      <c r="H32" s="344"/>
      <c r="I32" s="184" t="s">
        <v>1825</v>
      </c>
      <c r="J32" s="185"/>
      <c r="K32" s="359" t="s">
        <v>139</v>
      </c>
      <c r="L32" s="359"/>
      <c r="M32" s="359"/>
      <c r="N32" s="359"/>
      <c r="O32" s="360"/>
      <c r="P32" s="330" t="s">
        <v>140</v>
      </c>
      <c r="Q32" s="331"/>
      <c r="R32" s="331"/>
      <c r="S32" s="331"/>
      <c r="T32" s="331"/>
      <c r="U32" s="331"/>
      <c r="V32" s="331"/>
      <c r="W32" s="186" t="s">
        <v>141</v>
      </c>
      <c r="X32" s="187"/>
      <c r="Y32" s="353" t="s">
        <v>1801</v>
      </c>
      <c r="Z32" s="353"/>
      <c r="AA32" s="354"/>
    </row>
    <row r="33" spans="1:27" ht="17.100000000000001" customHeight="1">
      <c r="A33" s="386"/>
      <c r="B33" s="390"/>
      <c r="C33" s="336"/>
      <c r="D33" s="134"/>
      <c r="E33" s="134"/>
      <c r="F33" s="339"/>
      <c r="G33" s="342"/>
      <c r="H33" s="345"/>
      <c r="I33" s="188" t="s">
        <v>142</v>
      </c>
      <c r="J33" s="189"/>
      <c r="K33" s="347" t="s">
        <v>143</v>
      </c>
      <c r="L33" s="347"/>
      <c r="M33" s="347"/>
      <c r="N33" s="347"/>
      <c r="O33" s="348"/>
      <c r="P33" s="330"/>
      <c r="Q33" s="332"/>
      <c r="R33" s="332"/>
      <c r="S33" s="332"/>
      <c r="T33" s="332"/>
      <c r="U33" s="332"/>
      <c r="V33" s="332"/>
      <c r="W33" s="190" t="s">
        <v>144</v>
      </c>
      <c r="X33" s="191"/>
      <c r="Y33" s="355" t="s">
        <v>1830</v>
      </c>
      <c r="Z33" s="355"/>
      <c r="AA33" s="356"/>
    </row>
    <row r="34" spans="1:27" ht="17.100000000000001" customHeight="1" thickBot="1">
      <c r="A34" s="386"/>
      <c r="B34" s="390"/>
      <c r="C34" s="336"/>
      <c r="D34" s="134"/>
      <c r="E34" s="134"/>
      <c r="F34" s="339"/>
      <c r="G34" s="342"/>
      <c r="H34" s="345"/>
      <c r="I34" s="192" t="s">
        <v>145</v>
      </c>
      <c r="J34" s="193"/>
      <c r="K34" s="347"/>
      <c r="L34" s="347"/>
      <c r="M34" s="347"/>
      <c r="N34" s="347"/>
      <c r="O34" s="348"/>
      <c r="P34" s="330"/>
      <c r="Q34" s="332"/>
      <c r="R34" s="332"/>
      <c r="S34" s="332"/>
      <c r="T34" s="332"/>
      <c r="U34" s="332"/>
      <c r="V34" s="332"/>
      <c r="W34" s="190" t="s">
        <v>146</v>
      </c>
      <c r="X34" s="191"/>
      <c r="Y34" s="355" t="s">
        <v>147</v>
      </c>
      <c r="Z34" s="355"/>
      <c r="AA34" s="356"/>
    </row>
    <row r="35" spans="1:27" ht="17.100000000000001" customHeight="1">
      <c r="A35" s="386"/>
      <c r="B35" s="390"/>
      <c r="C35" s="336"/>
      <c r="D35" s="134"/>
      <c r="E35" s="134"/>
      <c r="F35" s="339"/>
      <c r="G35" s="342"/>
      <c r="H35" s="345"/>
      <c r="I35" s="194" t="s">
        <v>1824</v>
      </c>
      <c r="J35" s="195"/>
      <c r="K35" s="349"/>
      <c r="L35" s="347"/>
      <c r="M35" s="347"/>
      <c r="N35" s="347"/>
      <c r="O35" s="348"/>
      <c r="P35" s="330"/>
      <c r="Q35" s="332"/>
      <c r="R35" s="332"/>
      <c r="S35" s="332"/>
      <c r="T35" s="332"/>
      <c r="U35" s="332"/>
      <c r="V35" s="332"/>
      <c r="W35" s="196" t="s">
        <v>149</v>
      </c>
      <c r="X35" s="197"/>
      <c r="Y35" s="198">
        <v>1</v>
      </c>
      <c r="Z35" s="197" t="s">
        <v>150</v>
      </c>
      <c r="AA35" s="199">
        <v>5</v>
      </c>
    </row>
    <row r="36" spans="1:27" ht="41.45" customHeight="1" thickBot="1">
      <c r="A36" s="387"/>
      <c r="B36" s="391"/>
      <c r="C36" s="337"/>
      <c r="D36" s="135"/>
      <c r="E36" s="135"/>
      <c r="F36" s="340"/>
      <c r="G36" s="343"/>
      <c r="H36" s="346"/>
      <c r="I36" s="200" t="s">
        <v>151</v>
      </c>
      <c r="J36" s="201"/>
      <c r="K36" s="350"/>
      <c r="L36" s="351"/>
      <c r="M36" s="351"/>
      <c r="N36" s="351"/>
      <c r="O36" s="352"/>
      <c r="P36" s="333"/>
      <c r="Q36" s="334"/>
      <c r="R36" s="334"/>
      <c r="S36" s="334"/>
      <c r="T36" s="334"/>
      <c r="U36" s="334"/>
      <c r="V36" s="334"/>
      <c r="W36" s="202" t="s">
        <v>152</v>
      </c>
      <c r="X36" s="203"/>
      <c r="Y36" s="357"/>
      <c r="Z36" s="357"/>
      <c r="AA36" s="358"/>
    </row>
    <row r="37" spans="1:27" ht="17.100000000000001" customHeight="1" thickTop="1"/>
  </sheetData>
  <mergeCells count="33">
    <mergeCell ref="A8:A31"/>
    <mergeCell ref="A32:A36"/>
    <mergeCell ref="B8:B31"/>
    <mergeCell ref="B32:B36"/>
    <mergeCell ref="B1:B3"/>
    <mergeCell ref="B4:B5"/>
    <mergeCell ref="V2:AA2"/>
    <mergeCell ref="V3:AA3"/>
    <mergeCell ref="V4:AA4"/>
    <mergeCell ref="V1:AA1"/>
    <mergeCell ref="U5:AA5"/>
    <mergeCell ref="C4:C5"/>
    <mergeCell ref="F4:F5"/>
    <mergeCell ref="G1:L1"/>
    <mergeCell ref="C1:C3"/>
    <mergeCell ref="F1:F3"/>
    <mergeCell ref="G2:L4"/>
    <mergeCell ref="D4:D5"/>
    <mergeCell ref="E4:E5"/>
    <mergeCell ref="D1:D3"/>
    <mergeCell ref="E1:E3"/>
    <mergeCell ref="Y32:AA32"/>
    <mergeCell ref="Y33:AA33"/>
    <mergeCell ref="Y34:AA34"/>
    <mergeCell ref="Y36:AA36"/>
    <mergeCell ref="K32:O32"/>
    <mergeCell ref="U7:V7"/>
    <mergeCell ref="P32:V36"/>
    <mergeCell ref="C32:C36"/>
    <mergeCell ref="F32:F36"/>
    <mergeCell ref="G32:G36"/>
    <mergeCell ref="H32:H36"/>
    <mergeCell ref="K33:O36"/>
  </mergeCells>
  <phoneticPr fontId="0" type="noConversion"/>
  <dataValidations count="3">
    <dataValidation type="decimal" operator="greaterThan" showInputMessage="1" showErrorMessage="1" sqref="V8:V14 V16:V31" xr:uid="{5C6F3DFC-909E-42D9-B351-144F7EF25B15}">
      <formula1>0</formula1>
    </dataValidation>
    <dataValidation showInputMessage="1" showErrorMessage="1" sqref="M8:M31" xr:uid="{BBA9DA56-4915-4918-A7C3-CDE51A6C78FA}"/>
    <dataValidation type="decimal" showInputMessage="1" showErrorMessage="1" sqref="Q8:T31" xr:uid="{8F5B371C-2F01-4AC3-B36D-C9A178BA086B}">
      <formula1>0</formula1>
      <formula2>9999999</formula2>
    </dataValidation>
  </dataValidations>
  <printOptions horizontalCentered="1" verticalCentered="1"/>
  <pageMargins left="0" right="0" top="0" bottom="0" header="0" footer="0"/>
  <pageSetup paperSize="8" scale="48" orientation="landscape" r:id="rId1"/>
  <headerFooter alignWithMargins="0">
    <oddFooter>&amp;C&amp;1#&amp;"Arial"&amp;6&amp;K626469Internal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2" r:id="rId4" name="Check Box 78">
              <controlPr locked="0" defaultSize="0" autoFill="0" autoLine="0" autoPict="0">
                <anchor moveWithCells="1">
                  <from>
                    <xdr:col>7</xdr:col>
                    <xdr:colOff>247650</xdr:colOff>
                    <xdr:row>0</xdr:row>
                    <xdr:rowOff>200025</xdr:rowOff>
                  </from>
                  <to>
                    <xdr:col>8</xdr:col>
                    <xdr:colOff>1524000</xdr:colOff>
                    <xdr:row>0</xdr:row>
                    <xdr:rowOff>342900</xdr:rowOff>
                  </to>
                </anchor>
              </controlPr>
            </control>
          </mc:Choice>
        </mc:AlternateContent>
        <mc:AlternateContent xmlns:mc="http://schemas.openxmlformats.org/markup-compatibility/2006">
          <mc:Choice Requires="x14">
            <control shapeId="1103" r:id="rId5" name="Check Box 79">
              <controlPr locked="0" defaultSize="0" autoFill="0" autoLine="0" autoPict="0">
                <anchor moveWithCells="1">
                  <from>
                    <xdr:col>7</xdr:col>
                    <xdr:colOff>247650</xdr:colOff>
                    <xdr:row>0</xdr:row>
                    <xdr:rowOff>361950</xdr:rowOff>
                  </from>
                  <to>
                    <xdr:col>8</xdr:col>
                    <xdr:colOff>1343025</xdr:colOff>
                    <xdr:row>0</xdr:row>
                    <xdr:rowOff>581025</xdr:rowOff>
                  </to>
                </anchor>
              </controlPr>
            </control>
          </mc:Choice>
        </mc:AlternateContent>
        <mc:AlternateContent xmlns:mc="http://schemas.openxmlformats.org/markup-compatibility/2006">
          <mc:Choice Requires="x14">
            <control shapeId="1104" r:id="rId6" name="Check Box 80">
              <controlPr locked="0" defaultSize="0" autoFill="0" autoLine="0" autoPict="0">
                <anchor moveWithCells="1">
                  <from>
                    <xdr:col>9</xdr:col>
                    <xdr:colOff>38100</xdr:colOff>
                    <xdr:row>0</xdr:row>
                    <xdr:rowOff>180975</xdr:rowOff>
                  </from>
                  <to>
                    <xdr:col>9</xdr:col>
                    <xdr:colOff>1162050</xdr:colOff>
                    <xdr:row>0</xdr:row>
                    <xdr:rowOff>342900</xdr:rowOff>
                  </to>
                </anchor>
              </controlPr>
            </control>
          </mc:Choice>
        </mc:AlternateContent>
        <mc:AlternateContent xmlns:mc="http://schemas.openxmlformats.org/markup-compatibility/2006">
          <mc:Choice Requires="x14">
            <control shapeId="1105" r:id="rId7" name="Check Box 81">
              <controlPr locked="0" defaultSize="0" autoFill="0" autoLine="0" autoPict="0">
                <anchor moveWithCells="1">
                  <from>
                    <xdr:col>9</xdr:col>
                    <xdr:colOff>38100</xdr:colOff>
                    <xdr:row>0</xdr:row>
                    <xdr:rowOff>352425</xdr:rowOff>
                  </from>
                  <to>
                    <xdr:col>9</xdr:col>
                    <xdr:colOff>1409700</xdr:colOff>
                    <xdr:row>1</xdr:row>
                    <xdr:rowOff>0</xdr:rowOff>
                  </to>
                </anchor>
              </controlPr>
            </control>
          </mc:Choice>
        </mc:AlternateContent>
        <mc:AlternateContent xmlns:mc="http://schemas.openxmlformats.org/markup-compatibility/2006">
          <mc:Choice Requires="x14">
            <control shapeId="1243" r:id="rId8" name="Check Box 219">
              <controlPr locked="0" defaultSize="0" autoFill="0" autoLine="0" autoPict="0">
                <anchor moveWithCells="1">
                  <from>
                    <xdr:col>7</xdr:col>
                    <xdr:colOff>247650</xdr:colOff>
                    <xdr:row>0</xdr:row>
                    <xdr:rowOff>200025</xdr:rowOff>
                  </from>
                  <to>
                    <xdr:col>8</xdr:col>
                    <xdr:colOff>1552575</xdr:colOff>
                    <xdr:row>0</xdr:row>
                    <xdr:rowOff>342900</xdr:rowOff>
                  </to>
                </anchor>
              </controlPr>
            </control>
          </mc:Choice>
        </mc:AlternateContent>
        <mc:AlternateContent xmlns:mc="http://schemas.openxmlformats.org/markup-compatibility/2006">
          <mc:Choice Requires="x14">
            <control shapeId="1244" r:id="rId9" name="Check Box 220">
              <controlPr locked="0" defaultSize="0" autoFill="0" autoLine="0" autoPict="0">
                <anchor moveWithCells="1">
                  <from>
                    <xdr:col>7</xdr:col>
                    <xdr:colOff>247650</xdr:colOff>
                    <xdr:row>0</xdr:row>
                    <xdr:rowOff>361950</xdr:rowOff>
                  </from>
                  <to>
                    <xdr:col>8</xdr:col>
                    <xdr:colOff>1343025</xdr:colOff>
                    <xdr:row>0</xdr:row>
                    <xdr:rowOff>590550</xdr:rowOff>
                  </to>
                </anchor>
              </controlPr>
            </control>
          </mc:Choice>
        </mc:AlternateContent>
        <mc:AlternateContent xmlns:mc="http://schemas.openxmlformats.org/markup-compatibility/2006">
          <mc:Choice Requires="x14">
            <control shapeId="1245" r:id="rId10" name="Check Box 221">
              <controlPr locked="0" defaultSize="0" autoFill="0" autoLine="0" autoPict="0">
                <anchor moveWithCells="1">
                  <from>
                    <xdr:col>9</xdr:col>
                    <xdr:colOff>38100</xdr:colOff>
                    <xdr:row>0</xdr:row>
                    <xdr:rowOff>180975</xdr:rowOff>
                  </from>
                  <to>
                    <xdr:col>9</xdr:col>
                    <xdr:colOff>1162050</xdr:colOff>
                    <xdr:row>0</xdr:row>
                    <xdr:rowOff>352425</xdr:rowOff>
                  </to>
                </anchor>
              </controlPr>
            </control>
          </mc:Choice>
        </mc:AlternateContent>
        <mc:AlternateContent xmlns:mc="http://schemas.openxmlformats.org/markup-compatibility/2006">
          <mc:Choice Requires="x14">
            <control shapeId="1246" r:id="rId11" name="Check Box 222">
              <controlPr locked="0" defaultSize="0" autoFill="0" autoLine="0" autoPict="0">
                <anchor moveWithCells="1">
                  <from>
                    <xdr:col>9</xdr:col>
                    <xdr:colOff>38100</xdr:colOff>
                    <xdr:row>0</xdr:row>
                    <xdr:rowOff>352425</xdr:rowOff>
                  </from>
                  <to>
                    <xdr:col>9</xdr:col>
                    <xdr:colOff>1409700</xdr:colOff>
                    <xdr:row>0</xdr:row>
                    <xdr:rowOff>590550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r:uid="{E02CF8DA-6DC7-4920-B136-07D47F96EEB8}">
          <x14:formula1>
            <xm:f>'Validation Lists'!$J$3:$J$50</xm:f>
          </x14:formula1>
          <xm:sqref>Y8:Y31</xm:sqref>
        </x14:dataValidation>
        <x14:dataValidation type="list" allowBlank="1" showInputMessage="1" showErrorMessage="1" xr:uid="{03F5C3B4-5D6B-4769-98FF-0F8C98D6AAB3}">
          <x14:formula1>
            <xm:f>'Validation Lists'!$C$2:$C$6</xm:f>
          </x14:formula1>
          <xm:sqref>AA8:AA31</xm:sqref>
        </x14:dataValidation>
        <x14:dataValidation type="list" operator="greaterThan" showDropDown="1" showInputMessage="1" showErrorMessage="1" xr:uid="{4449B50A-6957-48EE-9B56-F04C2500473B}">
          <x14:formula1>
            <xm:f>'Validation Lists'!$E$2:$E$501</xm:f>
          </x14:formula1>
          <xm:sqref>W8:W31</xm:sqref>
        </x14:dataValidation>
        <x14:dataValidation type="list" showInputMessage="1" showErrorMessage="1" xr:uid="{5D65C322-92A3-4E39-A9F8-7AC30225BDC7}">
          <x14:formula1>
            <xm:f>'Validation Lists'!$G$2:$G$189</xm:f>
          </x14:formula1>
          <xm:sqref>U8:U31</xm:sqref>
        </x14:dataValidation>
        <x14:dataValidation type="list" showInputMessage="1" showErrorMessage="1" xr:uid="{199E7702-602A-430F-8CDA-9D824C4F79DE}">
          <x14:formula1>
            <xm:f>'Validation Lists'!$P$2:$P$62</xm:f>
          </x14:formula1>
          <xm:sqref>N8:N31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E5CC0-9120-43FD-8BD4-DA3EC9967DE8}">
  <dimension ref="A1:U29"/>
  <sheetViews>
    <sheetView view="pageBreakPreview" zoomScale="115" zoomScaleNormal="115" zoomScaleSheetLayoutView="115" workbookViewId="0">
      <selection activeCell="Q28" sqref="Q28"/>
    </sheetView>
  </sheetViews>
  <sheetFormatPr defaultColWidth="8.7109375" defaultRowHeight="12.75"/>
  <cols>
    <col min="1" max="1" width="4.7109375" style="83" customWidth="1"/>
    <col min="2" max="2" width="5.140625" style="83" customWidth="1"/>
    <col min="3" max="3" width="4.85546875" style="83" customWidth="1"/>
    <col min="4" max="13" width="3.7109375" style="83" customWidth="1"/>
    <col min="14" max="14" width="3.7109375" style="266" customWidth="1"/>
    <col min="15" max="15" width="5.28515625" style="83" customWidth="1"/>
    <col min="16" max="19" width="3.7109375" style="83" customWidth="1"/>
    <col min="20" max="20" width="12.7109375" style="83" customWidth="1"/>
    <col min="21" max="21" width="37.7109375" style="83" customWidth="1"/>
    <col min="22" max="22" width="2.7109375" style="83" customWidth="1"/>
    <col min="23" max="16384" width="8.7109375" style="83"/>
  </cols>
  <sheetData>
    <row r="1" spans="1:21" ht="16.899999999999999" customHeight="1" thickTop="1">
      <c r="A1" s="130"/>
      <c r="B1" s="415" t="s">
        <v>153</v>
      </c>
      <c r="C1" s="146"/>
      <c r="D1" s="412" t="s">
        <v>2</v>
      </c>
      <c r="E1" s="412" t="s">
        <v>2</v>
      </c>
      <c r="F1" s="412" t="s">
        <v>2</v>
      </c>
      <c r="G1" s="412" t="s">
        <v>2</v>
      </c>
      <c r="H1" s="412" t="s">
        <v>2</v>
      </c>
      <c r="I1" s="412" t="s">
        <v>2</v>
      </c>
      <c r="J1" s="412" t="s">
        <v>2</v>
      </c>
      <c r="K1" s="412" t="s">
        <v>2</v>
      </c>
      <c r="L1" s="412" t="s">
        <v>2</v>
      </c>
      <c r="M1" s="412" t="s">
        <v>2</v>
      </c>
      <c r="N1" s="258"/>
      <c r="O1" s="80" t="s">
        <v>154</v>
      </c>
      <c r="P1" s="81"/>
      <c r="Q1" s="81"/>
      <c r="R1" s="82"/>
      <c r="S1" s="82"/>
      <c r="T1" s="404" t="s">
        <v>6</v>
      </c>
      <c r="U1" s="405"/>
    </row>
    <row r="2" spans="1:21" ht="15.6" customHeight="1">
      <c r="A2" s="131">
        <v>1</v>
      </c>
      <c r="B2" s="416"/>
      <c r="C2" s="147"/>
      <c r="D2" s="414"/>
      <c r="E2" s="414"/>
      <c r="F2" s="414"/>
      <c r="G2" s="414"/>
      <c r="H2" s="414"/>
      <c r="I2" s="414"/>
      <c r="J2" s="414"/>
      <c r="K2" s="414"/>
      <c r="L2" s="414"/>
      <c r="M2" s="414"/>
      <c r="N2" s="258"/>
      <c r="O2" s="152" t="s">
        <v>10</v>
      </c>
      <c r="P2" s="84"/>
      <c r="Q2" s="84"/>
      <c r="R2" s="84"/>
      <c r="S2" s="84"/>
      <c r="T2" s="402" t="s">
        <v>11</v>
      </c>
      <c r="U2" s="403"/>
    </row>
    <row r="3" spans="1:21" ht="27" customHeight="1" thickBot="1">
      <c r="A3" s="132"/>
      <c r="B3" s="417"/>
      <c r="C3" s="148"/>
      <c r="D3" s="413"/>
      <c r="E3" s="413"/>
      <c r="F3" s="413"/>
      <c r="G3" s="413"/>
      <c r="H3" s="413"/>
      <c r="I3" s="413"/>
      <c r="J3" s="413"/>
      <c r="K3" s="413"/>
      <c r="L3" s="413"/>
      <c r="M3" s="413"/>
      <c r="N3" s="259"/>
      <c r="O3" s="152" t="s">
        <v>155</v>
      </c>
      <c r="P3" s="84"/>
      <c r="Q3" s="84"/>
      <c r="R3" s="84"/>
      <c r="S3" s="84"/>
      <c r="T3" s="402" t="s">
        <v>14</v>
      </c>
      <c r="U3" s="403"/>
    </row>
    <row r="4" spans="1:21" ht="16.899999999999999" customHeight="1" thickBot="1">
      <c r="A4" s="86"/>
      <c r="B4" s="418" t="s">
        <v>156</v>
      </c>
      <c r="C4" s="149"/>
      <c r="D4" s="412">
        <v>715</v>
      </c>
      <c r="E4" s="412">
        <v>715</v>
      </c>
      <c r="F4" s="412">
        <v>750</v>
      </c>
      <c r="G4" s="412">
        <v>750</v>
      </c>
      <c r="H4" s="412">
        <v>750</v>
      </c>
      <c r="I4" s="412">
        <v>730</v>
      </c>
      <c r="J4" s="412">
        <v>750</v>
      </c>
      <c r="K4" s="412">
        <v>730</v>
      </c>
      <c r="L4" s="412">
        <v>730</v>
      </c>
      <c r="M4" s="427" t="s">
        <v>157</v>
      </c>
      <c r="N4" s="260"/>
      <c r="O4" s="153" t="s">
        <v>158</v>
      </c>
      <c r="P4" s="87"/>
      <c r="Q4" s="87"/>
      <c r="R4" s="87"/>
      <c r="S4" s="87"/>
      <c r="T4" s="407" t="s">
        <v>14</v>
      </c>
      <c r="U4" s="408"/>
    </row>
    <row r="5" spans="1:21" ht="57" customHeight="1" thickBot="1">
      <c r="A5" s="88">
        <v>2</v>
      </c>
      <c r="B5" s="419"/>
      <c r="C5" s="148"/>
      <c r="D5" s="413"/>
      <c r="E5" s="413"/>
      <c r="F5" s="413"/>
      <c r="G5" s="413"/>
      <c r="H5" s="413"/>
      <c r="I5" s="413"/>
      <c r="J5" s="413"/>
      <c r="K5" s="413"/>
      <c r="L5" s="413"/>
      <c r="M5" s="428"/>
      <c r="N5" s="261"/>
      <c r="O5" s="89"/>
      <c r="P5" s="89"/>
      <c r="Q5" s="89"/>
      <c r="R5" s="89"/>
      <c r="S5" s="89"/>
      <c r="T5" s="89"/>
      <c r="U5" s="90"/>
    </row>
    <row r="6" spans="1:21" ht="54" customHeight="1" thickBot="1">
      <c r="A6" s="91">
        <v>3</v>
      </c>
      <c r="B6" s="156" t="s">
        <v>159</v>
      </c>
      <c r="C6" s="150"/>
      <c r="D6" s="162" t="s">
        <v>2</v>
      </c>
      <c r="E6" s="162" t="s">
        <v>2</v>
      </c>
      <c r="F6" s="162" t="s">
        <v>2</v>
      </c>
      <c r="G6" s="162" t="s">
        <v>2</v>
      </c>
      <c r="H6" s="162" t="s">
        <v>2</v>
      </c>
      <c r="I6" s="162" t="s">
        <v>2</v>
      </c>
      <c r="J6" s="162" t="s">
        <v>2</v>
      </c>
      <c r="K6" s="162" t="s">
        <v>2</v>
      </c>
      <c r="L6" s="162" t="s">
        <v>2</v>
      </c>
      <c r="M6" s="162" t="s">
        <v>2</v>
      </c>
      <c r="N6" s="258"/>
      <c r="O6" s="92"/>
      <c r="P6" s="92"/>
      <c r="Q6" s="92"/>
      <c r="R6" s="92"/>
      <c r="S6" s="92"/>
      <c r="T6" s="92"/>
      <c r="U6" s="93"/>
    </row>
    <row r="7" spans="1:21" ht="27.6" customHeight="1" thickBot="1">
      <c r="A7" s="94">
        <v>4</v>
      </c>
      <c r="B7" s="157" t="s">
        <v>45</v>
      </c>
      <c r="C7" s="151"/>
      <c r="D7" s="155">
        <v>4</v>
      </c>
      <c r="E7" s="155">
        <v>2</v>
      </c>
      <c r="F7" s="155">
        <v>4</v>
      </c>
      <c r="G7" s="155">
        <v>7</v>
      </c>
      <c r="H7" s="155">
        <v>4</v>
      </c>
      <c r="I7" s="155">
        <v>2</v>
      </c>
      <c r="J7" s="155">
        <v>130</v>
      </c>
      <c r="K7" s="155">
        <v>7</v>
      </c>
      <c r="L7" s="155">
        <v>4</v>
      </c>
      <c r="M7" s="155">
        <v>80</v>
      </c>
      <c r="N7" s="262"/>
      <c r="O7" s="409" t="s">
        <v>160</v>
      </c>
      <c r="P7" s="410"/>
      <c r="Q7" s="410"/>
      <c r="R7" s="410"/>
      <c r="S7" s="410"/>
      <c r="T7" s="410"/>
      <c r="U7" s="411"/>
    </row>
    <row r="8" spans="1:21" ht="19.899999999999999" customHeight="1" thickBot="1">
      <c r="A8" s="95"/>
      <c r="B8" s="397" t="s">
        <v>161</v>
      </c>
      <c r="C8" s="96">
        <v>9</v>
      </c>
      <c r="D8" s="164">
        <v>1</v>
      </c>
      <c r="E8" s="154"/>
      <c r="F8" s="154"/>
      <c r="G8" s="154"/>
      <c r="H8" s="154"/>
      <c r="I8" s="154"/>
      <c r="J8" s="154"/>
      <c r="K8" s="154"/>
      <c r="L8" s="154"/>
      <c r="M8" s="154"/>
      <c r="N8" s="263">
        <v>4</v>
      </c>
      <c r="O8" s="161">
        <v>9</v>
      </c>
      <c r="P8" s="399" t="s">
        <v>89</v>
      </c>
      <c r="Q8" s="400"/>
      <c r="R8" s="400"/>
      <c r="S8" s="400"/>
      <c r="T8" s="400"/>
      <c r="U8" s="401"/>
    </row>
    <row r="9" spans="1:21" ht="19.899999999999999" customHeight="1" thickBot="1">
      <c r="A9" s="97"/>
      <c r="B9" s="398"/>
      <c r="C9" s="96">
        <v>10</v>
      </c>
      <c r="D9" s="98"/>
      <c r="E9" s="163">
        <v>1</v>
      </c>
      <c r="F9" s="99"/>
      <c r="G9" s="99"/>
      <c r="H9" s="99"/>
      <c r="I9" s="99"/>
      <c r="J9" s="99"/>
      <c r="K9" s="99"/>
      <c r="L9" s="99"/>
      <c r="M9" s="99"/>
      <c r="N9" s="264">
        <v>2</v>
      </c>
      <c r="O9" s="161">
        <v>10</v>
      </c>
      <c r="P9" s="399" t="s">
        <v>91</v>
      </c>
      <c r="Q9" s="400" t="s">
        <v>91</v>
      </c>
      <c r="R9" s="400" t="s">
        <v>91</v>
      </c>
      <c r="S9" s="400" t="s">
        <v>91</v>
      </c>
      <c r="T9" s="400" t="s">
        <v>91</v>
      </c>
      <c r="U9" s="401" t="s">
        <v>91</v>
      </c>
    </row>
    <row r="10" spans="1:21" ht="19.899999999999999" customHeight="1" thickBot="1">
      <c r="A10" s="97"/>
      <c r="B10" s="398"/>
      <c r="C10" s="96">
        <v>11</v>
      </c>
      <c r="D10" s="100"/>
      <c r="E10" s="163">
        <v>1</v>
      </c>
      <c r="F10" s="101"/>
      <c r="G10" s="101"/>
      <c r="H10" s="101"/>
      <c r="I10" s="101"/>
      <c r="J10" s="101"/>
      <c r="K10" s="101"/>
      <c r="L10" s="101"/>
      <c r="M10" s="101"/>
      <c r="N10" s="264">
        <v>2</v>
      </c>
      <c r="O10" s="161">
        <v>11</v>
      </c>
      <c r="P10" s="399" t="s">
        <v>95</v>
      </c>
      <c r="Q10" s="400" t="s">
        <v>95</v>
      </c>
      <c r="R10" s="400" t="s">
        <v>95</v>
      </c>
      <c r="S10" s="400" t="s">
        <v>95</v>
      </c>
      <c r="T10" s="400" t="s">
        <v>95</v>
      </c>
      <c r="U10" s="401" t="s">
        <v>95</v>
      </c>
    </row>
    <row r="11" spans="1:21" ht="19.899999999999999" customHeight="1" thickBot="1">
      <c r="A11" s="97"/>
      <c r="B11" s="398"/>
      <c r="C11" s="96">
        <v>12</v>
      </c>
      <c r="D11" s="100"/>
      <c r="E11" s="163">
        <v>1</v>
      </c>
      <c r="F11" s="101"/>
      <c r="G11" s="101"/>
      <c r="H11" s="101"/>
      <c r="I11" s="101"/>
      <c r="J11" s="101"/>
      <c r="K11" s="101"/>
      <c r="L11" s="101"/>
      <c r="M11" s="101"/>
      <c r="N11" s="264">
        <v>2</v>
      </c>
      <c r="O11" s="161">
        <v>12</v>
      </c>
      <c r="P11" s="399" t="s">
        <v>98</v>
      </c>
      <c r="Q11" s="400" t="s">
        <v>98</v>
      </c>
      <c r="R11" s="400" t="s">
        <v>98</v>
      </c>
      <c r="S11" s="400" t="s">
        <v>98</v>
      </c>
      <c r="T11" s="400" t="s">
        <v>98</v>
      </c>
      <c r="U11" s="401" t="s">
        <v>98</v>
      </c>
    </row>
    <row r="12" spans="1:21" ht="19.899999999999999" customHeight="1" thickBot="1">
      <c r="A12" s="97"/>
      <c r="B12" s="398"/>
      <c r="C12" s="96">
        <v>13</v>
      </c>
      <c r="D12" s="102"/>
      <c r="E12" s="163">
        <v>1</v>
      </c>
      <c r="F12" s="163"/>
      <c r="G12" s="101"/>
      <c r="H12" s="101"/>
      <c r="I12" s="101"/>
      <c r="J12" s="101"/>
      <c r="K12" s="101"/>
      <c r="L12" s="101"/>
      <c r="M12" s="101"/>
      <c r="N12" s="264">
        <v>2</v>
      </c>
      <c r="O12" s="161">
        <v>13</v>
      </c>
      <c r="P12" s="399" t="s">
        <v>101</v>
      </c>
      <c r="Q12" s="400" t="s">
        <v>101</v>
      </c>
      <c r="R12" s="400" t="s">
        <v>101</v>
      </c>
      <c r="S12" s="400" t="s">
        <v>101</v>
      </c>
      <c r="T12" s="400" t="s">
        <v>101</v>
      </c>
      <c r="U12" s="401" t="s">
        <v>101</v>
      </c>
    </row>
    <row r="13" spans="1:21" ht="19.899999999999999" customHeight="1" thickBot="1">
      <c r="A13" s="97"/>
      <c r="B13" s="398"/>
      <c r="C13" s="96">
        <v>14</v>
      </c>
      <c r="D13" s="100"/>
      <c r="E13" s="101"/>
      <c r="F13" s="163">
        <v>1</v>
      </c>
      <c r="G13" s="163"/>
      <c r="H13" s="101"/>
      <c r="I13" s="101"/>
      <c r="J13" s="101"/>
      <c r="K13" s="101"/>
      <c r="L13" s="101"/>
      <c r="M13" s="101"/>
      <c r="N13" s="163">
        <v>4</v>
      </c>
      <c r="O13" s="161">
        <v>14</v>
      </c>
      <c r="P13" s="399" t="s">
        <v>103</v>
      </c>
      <c r="Q13" s="400" t="s">
        <v>103</v>
      </c>
      <c r="R13" s="400" t="s">
        <v>103</v>
      </c>
      <c r="S13" s="400" t="s">
        <v>103</v>
      </c>
      <c r="T13" s="400" t="s">
        <v>103</v>
      </c>
      <c r="U13" s="401" t="s">
        <v>103</v>
      </c>
    </row>
    <row r="14" spans="1:21" ht="19.899999999999999" customHeight="1" thickBot="1">
      <c r="A14" s="97"/>
      <c r="B14" s="398"/>
      <c r="C14" s="96">
        <v>15</v>
      </c>
      <c r="D14" s="100"/>
      <c r="E14" s="101"/>
      <c r="F14" s="101"/>
      <c r="G14" s="163">
        <v>1</v>
      </c>
      <c r="H14" s="163"/>
      <c r="I14" s="101"/>
      <c r="J14" s="101"/>
      <c r="K14" s="101"/>
      <c r="L14" s="101"/>
      <c r="M14" s="101"/>
      <c r="N14" s="163">
        <v>7</v>
      </c>
      <c r="O14" s="161">
        <v>15</v>
      </c>
      <c r="P14" s="399" t="s">
        <v>106</v>
      </c>
      <c r="Q14" s="400" t="s">
        <v>106</v>
      </c>
      <c r="R14" s="400" t="s">
        <v>106</v>
      </c>
      <c r="S14" s="400" t="s">
        <v>106</v>
      </c>
      <c r="T14" s="400" t="s">
        <v>106</v>
      </c>
      <c r="U14" s="401" t="s">
        <v>106</v>
      </c>
    </row>
    <row r="15" spans="1:21" ht="19.899999999999999" customHeight="1" thickBot="1">
      <c r="A15" s="97"/>
      <c r="B15" s="398"/>
      <c r="C15" s="96">
        <v>16</v>
      </c>
      <c r="D15" s="103"/>
      <c r="E15" s="104"/>
      <c r="F15" s="104"/>
      <c r="G15" s="104"/>
      <c r="H15" s="163">
        <v>1</v>
      </c>
      <c r="I15" s="163"/>
      <c r="J15" s="104"/>
      <c r="K15" s="104"/>
      <c r="L15" s="104"/>
      <c r="M15" s="104"/>
      <c r="N15" s="264">
        <v>4</v>
      </c>
      <c r="O15" s="161">
        <v>16</v>
      </c>
      <c r="P15" s="399" t="s">
        <v>108</v>
      </c>
      <c r="Q15" s="400" t="s">
        <v>108</v>
      </c>
      <c r="R15" s="400" t="s">
        <v>108</v>
      </c>
      <c r="S15" s="400" t="s">
        <v>108</v>
      </c>
      <c r="T15" s="400" t="s">
        <v>108</v>
      </c>
      <c r="U15" s="401" t="s">
        <v>108</v>
      </c>
    </row>
    <row r="16" spans="1:21" ht="19.899999999999999" customHeight="1" thickBot="1">
      <c r="A16" s="97"/>
      <c r="B16" s="398"/>
      <c r="C16" s="96">
        <v>17</v>
      </c>
      <c r="D16" s="105"/>
      <c r="E16" s="106"/>
      <c r="F16" s="106"/>
      <c r="G16" s="106"/>
      <c r="H16" s="106"/>
      <c r="I16" s="163">
        <v>1</v>
      </c>
      <c r="J16" s="163"/>
      <c r="K16" s="106"/>
      <c r="L16" s="106"/>
      <c r="M16" s="106"/>
      <c r="N16" s="267">
        <v>2</v>
      </c>
      <c r="O16" s="161">
        <v>17</v>
      </c>
      <c r="P16" s="399" t="s">
        <v>111</v>
      </c>
      <c r="Q16" s="400" t="s">
        <v>111</v>
      </c>
      <c r="R16" s="400" t="s">
        <v>111</v>
      </c>
      <c r="S16" s="400" t="s">
        <v>111</v>
      </c>
      <c r="T16" s="400" t="s">
        <v>111</v>
      </c>
      <c r="U16" s="401" t="s">
        <v>111</v>
      </c>
    </row>
    <row r="17" spans="1:21" ht="19.899999999999999" customHeight="1" thickBot="1">
      <c r="A17" s="97"/>
      <c r="B17" s="398"/>
      <c r="C17" s="96">
        <v>18</v>
      </c>
      <c r="D17" s="100"/>
      <c r="E17" s="101"/>
      <c r="F17" s="101"/>
      <c r="G17" s="101"/>
      <c r="H17" s="101"/>
      <c r="I17" s="101"/>
      <c r="J17" s="163">
        <v>1</v>
      </c>
      <c r="K17" s="163"/>
      <c r="L17" s="101"/>
      <c r="M17" s="101"/>
      <c r="N17" s="163">
        <v>130</v>
      </c>
      <c r="O17" s="161">
        <v>18</v>
      </c>
      <c r="P17" s="399" t="s">
        <v>114</v>
      </c>
      <c r="Q17" s="400" t="s">
        <v>114</v>
      </c>
      <c r="R17" s="400" t="s">
        <v>114</v>
      </c>
      <c r="S17" s="400" t="s">
        <v>114</v>
      </c>
      <c r="T17" s="400" t="s">
        <v>114</v>
      </c>
      <c r="U17" s="401" t="s">
        <v>114</v>
      </c>
    </row>
    <row r="18" spans="1:21" ht="19.899999999999999" customHeight="1" thickBot="1">
      <c r="A18" s="107">
        <v>5</v>
      </c>
      <c r="B18" s="398"/>
      <c r="C18" s="96">
        <v>19</v>
      </c>
      <c r="D18" s="108"/>
      <c r="E18" s="112"/>
      <c r="F18" s="112"/>
      <c r="G18" s="112"/>
      <c r="H18" s="112"/>
      <c r="I18" s="112"/>
      <c r="J18" s="112"/>
      <c r="K18" s="163">
        <v>1</v>
      </c>
      <c r="L18" s="163"/>
      <c r="M18" s="112"/>
      <c r="N18" s="268">
        <v>7</v>
      </c>
      <c r="O18" s="161">
        <v>19</v>
      </c>
      <c r="P18" s="399" t="s">
        <v>117</v>
      </c>
      <c r="Q18" s="400" t="s">
        <v>117</v>
      </c>
      <c r="R18" s="400" t="s">
        <v>117</v>
      </c>
      <c r="S18" s="400" t="s">
        <v>117</v>
      </c>
      <c r="T18" s="400" t="s">
        <v>117</v>
      </c>
      <c r="U18" s="401" t="s">
        <v>117</v>
      </c>
    </row>
    <row r="19" spans="1:21" ht="19.899999999999999" customHeight="1" thickBot="1">
      <c r="A19" s="97"/>
      <c r="B19" s="398"/>
      <c r="C19" s="96">
        <v>20</v>
      </c>
      <c r="D19" s="109"/>
      <c r="E19" s="110"/>
      <c r="F19" s="110"/>
      <c r="G19" s="110"/>
      <c r="H19" s="110"/>
      <c r="I19" s="110"/>
      <c r="J19" s="110"/>
      <c r="K19" s="110"/>
      <c r="L19" s="163">
        <v>1</v>
      </c>
      <c r="M19" s="110"/>
      <c r="N19" s="269">
        <v>4</v>
      </c>
      <c r="O19" s="161">
        <v>20</v>
      </c>
      <c r="P19" s="399" t="s">
        <v>120</v>
      </c>
      <c r="Q19" s="400" t="s">
        <v>120</v>
      </c>
      <c r="R19" s="400" t="s">
        <v>120</v>
      </c>
      <c r="S19" s="400" t="s">
        <v>120</v>
      </c>
      <c r="T19" s="400" t="s">
        <v>120</v>
      </c>
      <c r="U19" s="401" t="s">
        <v>120</v>
      </c>
    </row>
    <row r="20" spans="1:21" ht="19.899999999999999" customHeight="1" thickBot="1">
      <c r="A20" s="97"/>
      <c r="B20" s="398"/>
      <c r="C20" s="96">
        <v>21</v>
      </c>
      <c r="D20" s="111"/>
      <c r="E20" s="112"/>
      <c r="F20" s="112"/>
      <c r="G20" s="112"/>
      <c r="H20" s="112"/>
      <c r="I20" s="112"/>
      <c r="J20" s="112"/>
      <c r="K20" s="112"/>
      <c r="L20" s="163">
        <v>1</v>
      </c>
      <c r="M20" s="112"/>
      <c r="N20" s="268">
        <v>4</v>
      </c>
      <c r="O20" s="161">
        <v>21</v>
      </c>
      <c r="P20" s="399" t="s">
        <v>124</v>
      </c>
      <c r="Q20" s="400" t="s">
        <v>124</v>
      </c>
      <c r="R20" s="400" t="s">
        <v>124</v>
      </c>
      <c r="S20" s="400" t="s">
        <v>124</v>
      </c>
      <c r="T20" s="400" t="s">
        <v>124</v>
      </c>
      <c r="U20" s="401" t="s">
        <v>124</v>
      </c>
    </row>
    <row r="21" spans="1:21" ht="19.899999999999999" customHeight="1" thickBot="1">
      <c r="A21" s="97"/>
      <c r="B21" s="398"/>
      <c r="C21" s="96">
        <v>22</v>
      </c>
      <c r="D21" s="109"/>
      <c r="E21" s="110"/>
      <c r="F21" s="110"/>
      <c r="G21" s="110"/>
      <c r="H21" s="110"/>
      <c r="I21" s="110"/>
      <c r="J21" s="110"/>
      <c r="K21" s="110"/>
      <c r="L21" s="163">
        <v>1</v>
      </c>
      <c r="M21" s="163"/>
      <c r="N21" s="163">
        <v>4</v>
      </c>
      <c r="O21" s="161">
        <v>22</v>
      </c>
      <c r="P21" s="399" t="s">
        <v>128</v>
      </c>
      <c r="Q21" s="400" t="s">
        <v>128</v>
      </c>
      <c r="R21" s="400" t="s">
        <v>128</v>
      </c>
      <c r="S21" s="400" t="s">
        <v>128</v>
      </c>
      <c r="T21" s="400" t="s">
        <v>128</v>
      </c>
      <c r="U21" s="401" t="s">
        <v>128</v>
      </c>
    </row>
    <row r="22" spans="1:21" ht="19.899999999999999" customHeight="1" thickBot="1">
      <c r="A22" s="97"/>
      <c r="B22" s="398"/>
      <c r="C22" s="96">
        <v>23</v>
      </c>
      <c r="D22" s="113"/>
      <c r="E22" s="112"/>
      <c r="F22" s="112"/>
      <c r="G22" s="112"/>
      <c r="H22" s="112"/>
      <c r="I22" s="112"/>
      <c r="J22" s="112"/>
      <c r="K22" s="112"/>
      <c r="L22" s="163">
        <v>1</v>
      </c>
      <c r="M22" s="163"/>
      <c r="N22" s="163">
        <v>4</v>
      </c>
      <c r="O22" s="161">
        <v>23</v>
      </c>
      <c r="P22" s="399" t="s">
        <v>131</v>
      </c>
      <c r="Q22" s="400" t="s">
        <v>131</v>
      </c>
      <c r="R22" s="400" t="s">
        <v>131</v>
      </c>
      <c r="S22" s="400" t="s">
        <v>131</v>
      </c>
      <c r="T22" s="400" t="s">
        <v>131</v>
      </c>
      <c r="U22" s="401" t="s">
        <v>131</v>
      </c>
    </row>
    <row r="23" spans="1:21" ht="19.899999999999999" customHeight="1" thickBot="1">
      <c r="A23" s="97"/>
      <c r="B23" s="398"/>
      <c r="C23" s="179">
        <v>24</v>
      </c>
      <c r="D23" s="180"/>
      <c r="E23" s="181"/>
      <c r="F23" s="181"/>
      <c r="G23" s="181"/>
      <c r="H23" s="181"/>
      <c r="I23" s="181"/>
      <c r="J23" s="181"/>
      <c r="K23" s="181"/>
      <c r="L23" s="181"/>
      <c r="M23" s="182">
        <v>1</v>
      </c>
      <c r="N23" s="182">
        <v>80</v>
      </c>
      <c r="O23" s="183">
        <v>24</v>
      </c>
      <c r="P23" s="406" t="s">
        <v>134</v>
      </c>
      <c r="Q23" s="400" t="s">
        <v>134</v>
      </c>
      <c r="R23" s="400" t="s">
        <v>134</v>
      </c>
      <c r="S23" s="400" t="s">
        <v>134</v>
      </c>
      <c r="T23" s="400" t="s">
        <v>134</v>
      </c>
      <c r="U23" s="401" t="s">
        <v>134</v>
      </c>
    </row>
    <row r="24" spans="1:21" ht="17.100000000000001" customHeight="1">
      <c r="A24" s="423">
        <v>6</v>
      </c>
      <c r="B24" s="420" t="s">
        <v>162</v>
      </c>
      <c r="C24" s="426" t="s">
        <v>138</v>
      </c>
      <c r="D24" s="426"/>
      <c r="E24" s="426"/>
      <c r="F24" s="426"/>
      <c r="G24" s="426"/>
      <c r="H24" s="426"/>
      <c r="I24" s="426"/>
      <c r="J24" s="426"/>
      <c r="K24" s="426"/>
      <c r="L24" s="426"/>
      <c r="M24" s="426"/>
      <c r="N24" s="426"/>
      <c r="O24" s="426"/>
      <c r="P24" s="426"/>
      <c r="Q24" s="114" t="s">
        <v>141</v>
      </c>
      <c r="R24" s="114"/>
      <c r="S24" s="115"/>
      <c r="T24" s="159" t="s">
        <v>1801</v>
      </c>
      <c r="U24" s="116"/>
    </row>
    <row r="25" spans="1:21" ht="17.100000000000001" customHeight="1">
      <c r="A25" s="424"/>
      <c r="B25" s="421"/>
      <c r="C25" s="426"/>
      <c r="D25" s="426"/>
      <c r="E25" s="426"/>
      <c r="F25" s="426"/>
      <c r="G25" s="426"/>
      <c r="H25" s="426"/>
      <c r="I25" s="426"/>
      <c r="J25" s="426"/>
      <c r="K25" s="426"/>
      <c r="L25" s="426"/>
      <c r="M25" s="426"/>
      <c r="N25" s="426"/>
      <c r="O25" s="426"/>
      <c r="P25" s="426"/>
      <c r="Q25" s="118" t="s">
        <v>144</v>
      </c>
      <c r="R25" s="118"/>
      <c r="S25" s="119"/>
      <c r="T25" s="159" t="s">
        <v>1830</v>
      </c>
      <c r="U25" s="120"/>
    </row>
    <row r="26" spans="1:21" ht="17.100000000000001" customHeight="1">
      <c r="A26" s="424"/>
      <c r="B26" s="421"/>
      <c r="C26" s="426"/>
      <c r="D26" s="426"/>
      <c r="E26" s="426"/>
      <c r="F26" s="426"/>
      <c r="G26" s="426"/>
      <c r="H26" s="426"/>
      <c r="I26" s="426"/>
      <c r="J26" s="426"/>
      <c r="K26" s="426"/>
      <c r="L26" s="426"/>
      <c r="M26" s="426"/>
      <c r="N26" s="426"/>
      <c r="O26" s="426"/>
      <c r="P26" s="426"/>
      <c r="Q26" s="118" t="s">
        <v>146</v>
      </c>
      <c r="R26" s="118"/>
      <c r="S26" s="119"/>
      <c r="T26" s="159" t="s">
        <v>147</v>
      </c>
      <c r="U26" s="120"/>
    </row>
    <row r="27" spans="1:21" ht="17.100000000000001" customHeight="1">
      <c r="A27" s="424"/>
      <c r="B27" s="421"/>
      <c r="C27" s="426"/>
      <c r="D27" s="426"/>
      <c r="E27" s="426"/>
      <c r="F27" s="426"/>
      <c r="G27" s="426"/>
      <c r="H27" s="426"/>
      <c r="I27" s="426"/>
      <c r="J27" s="426"/>
      <c r="K27" s="426"/>
      <c r="L27" s="426"/>
      <c r="M27" s="426"/>
      <c r="N27" s="426"/>
      <c r="O27" s="426"/>
      <c r="P27" s="426"/>
      <c r="Q27" s="122" t="s">
        <v>149</v>
      </c>
      <c r="R27" s="122"/>
      <c r="S27" s="159">
        <v>2</v>
      </c>
      <c r="T27" s="158" t="s">
        <v>150</v>
      </c>
      <c r="U27" s="85">
        <v>5</v>
      </c>
    </row>
    <row r="28" spans="1:21" ht="58.9" customHeight="1" thickBot="1">
      <c r="A28" s="425"/>
      <c r="B28" s="422"/>
      <c r="C28" s="123" t="s">
        <v>163</v>
      </c>
      <c r="D28" s="124"/>
      <c r="E28" s="124"/>
      <c r="F28" s="124"/>
      <c r="G28" s="124"/>
      <c r="H28" s="124"/>
      <c r="I28" s="124"/>
      <c r="J28" s="124"/>
      <c r="K28" s="124"/>
      <c r="L28" s="124"/>
      <c r="M28" s="125"/>
      <c r="N28" s="265"/>
      <c r="O28" s="125"/>
      <c r="P28" s="126"/>
      <c r="Q28" s="127" t="s">
        <v>152</v>
      </c>
      <c r="R28" s="128"/>
      <c r="S28" s="128"/>
      <c r="T28" s="160" t="s">
        <v>1801</v>
      </c>
      <c r="U28" s="129"/>
    </row>
    <row r="29" spans="1:21" ht="17.100000000000001" customHeight="1" thickTop="1"/>
  </sheetData>
  <mergeCells count="47">
    <mergeCell ref="B1:B3"/>
    <mergeCell ref="B4:B5"/>
    <mergeCell ref="B24:B28"/>
    <mergeCell ref="A24:A28"/>
    <mergeCell ref="C24:P27"/>
    <mergeCell ref="I4:I5"/>
    <mergeCell ref="J4:J5"/>
    <mergeCell ref="K4:K5"/>
    <mergeCell ref="L4:L5"/>
    <mergeCell ref="M4:M5"/>
    <mergeCell ref="I1:I3"/>
    <mergeCell ref="J1:J3"/>
    <mergeCell ref="K1:K3"/>
    <mergeCell ref="L1:L3"/>
    <mergeCell ref="M1:M3"/>
    <mergeCell ref="D1:D3"/>
    <mergeCell ref="D4:D5"/>
    <mergeCell ref="E1:E3"/>
    <mergeCell ref="F1:F3"/>
    <mergeCell ref="G1:G3"/>
    <mergeCell ref="H1:H3"/>
    <mergeCell ref="E4:E5"/>
    <mergeCell ref="F4:F5"/>
    <mergeCell ref="G4:G5"/>
    <mergeCell ref="H4:H5"/>
    <mergeCell ref="T2:U2"/>
    <mergeCell ref="T1:U1"/>
    <mergeCell ref="P21:U21"/>
    <mergeCell ref="P22:U22"/>
    <mergeCell ref="P23:U23"/>
    <mergeCell ref="T3:U3"/>
    <mergeCell ref="T4:U4"/>
    <mergeCell ref="O7:U7"/>
    <mergeCell ref="P17:U17"/>
    <mergeCell ref="P18:U18"/>
    <mergeCell ref="P19:U19"/>
    <mergeCell ref="P20:U20"/>
    <mergeCell ref="B8:B23"/>
    <mergeCell ref="P8:U8"/>
    <mergeCell ref="P9:U9"/>
    <mergeCell ref="P10:U10"/>
    <mergeCell ref="P11:U11"/>
    <mergeCell ref="P12:U12"/>
    <mergeCell ref="P13:U13"/>
    <mergeCell ref="P14:U14"/>
    <mergeCell ref="P15:U15"/>
    <mergeCell ref="P16:U16"/>
  </mergeCells>
  <phoneticPr fontId="34" type="noConversion"/>
  <printOptions horizontalCentered="1" verticalCentered="1"/>
  <pageMargins left="0" right="0" top="0" bottom="0" header="0" footer="0"/>
  <pageSetup paperSize="9" scale="87" orientation="landscape" r:id="rId1"/>
  <headerFooter alignWithMargins="0">
    <oddHeader>&amp;L&amp;"Calibri"&amp;10&amp;K000000CLASSIFICATION: C1 - CONTROLLED&amp;1#</oddHead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902F9-9149-4459-BD62-6C1D3F8528B4}">
  <sheetPr>
    <pageSetUpPr fitToPage="1"/>
  </sheetPr>
  <dimension ref="A1:AB37"/>
  <sheetViews>
    <sheetView showGridLines="0" view="pageBreakPreview" topLeftCell="F11" zoomScale="70" zoomScaleNormal="115" zoomScaleSheetLayoutView="70" workbookViewId="0">
      <selection activeCell="M15" sqref="M15"/>
    </sheetView>
  </sheetViews>
  <sheetFormatPr defaultRowHeight="12.75"/>
  <cols>
    <col min="1" max="1" width="4.5703125" customWidth="1"/>
    <col min="2" max="2" width="4.7109375" customWidth="1"/>
    <col min="3" max="6" width="5.7109375" customWidth="1"/>
    <col min="7" max="7" width="4.28515625" customWidth="1"/>
    <col min="8" max="8" width="6.140625" customWidth="1"/>
    <col min="9" max="9" width="59.85546875" style="302" customWidth="1"/>
    <col min="10" max="10" width="35" customWidth="1"/>
    <col min="11" max="11" width="26.85546875" customWidth="1"/>
    <col min="12" max="12" width="25.42578125" customWidth="1"/>
    <col min="13" max="13" width="30.140625" customWidth="1"/>
    <col min="14" max="14" width="45.28515625" customWidth="1"/>
    <col min="15" max="15" width="14.28515625" customWidth="1"/>
    <col min="16" max="16" width="19.28515625" customWidth="1"/>
    <col min="17" max="19" width="3.7109375" customWidth="1"/>
    <col min="20" max="20" width="3.5703125" customWidth="1"/>
    <col min="21" max="21" width="24.140625" customWidth="1"/>
    <col min="22" max="22" width="9" bestFit="1" customWidth="1"/>
    <col min="23" max="23" width="7.5703125" customWidth="1"/>
    <col min="24" max="24" width="4.7109375" customWidth="1"/>
    <col min="25" max="25" width="14" customWidth="1"/>
    <col min="26" max="26" width="12.7109375" customWidth="1"/>
    <col min="27" max="27" width="10.7109375" customWidth="1"/>
  </cols>
  <sheetData>
    <row r="1" spans="1:28" ht="47.45" customHeight="1" thickTop="1" thickBot="1">
      <c r="A1" s="1"/>
      <c r="B1" s="392" t="s">
        <v>0</v>
      </c>
      <c r="C1" s="429" t="s">
        <v>2</v>
      </c>
      <c r="D1" s="429" t="s">
        <v>2</v>
      </c>
      <c r="E1" s="429" t="s">
        <v>2</v>
      </c>
      <c r="F1" s="429" t="s">
        <v>2</v>
      </c>
      <c r="G1" s="362" t="s">
        <v>3</v>
      </c>
      <c r="H1" s="363"/>
      <c r="I1" s="363"/>
      <c r="J1" s="363"/>
      <c r="K1" s="363"/>
      <c r="L1" s="364"/>
      <c r="M1" s="31"/>
      <c r="N1" s="40" t="s">
        <v>4</v>
      </c>
      <c r="O1" s="2"/>
      <c r="P1" s="2"/>
      <c r="Q1" s="2"/>
      <c r="R1" s="2"/>
      <c r="S1" s="2"/>
      <c r="T1" s="3"/>
      <c r="U1" s="75" t="s">
        <v>5</v>
      </c>
      <c r="V1" s="378" t="s">
        <v>1827</v>
      </c>
      <c r="W1" s="379"/>
      <c r="X1" s="379"/>
      <c r="Y1" s="379"/>
      <c r="Z1" s="379"/>
      <c r="AA1" s="380"/>
    </row>
    <row r="2" spans="1:28" ht="17.45" customHeight="1" thickBot="1">
      <c r="A2" s="4">
        <v>1</v>
      </c>
      <c r="B2" s="393"/>
      <c r="C2" s="429"/>
      <c r="D2" s="429"/>
      <c r="E2" s="429"/>
      <c r="F2" s="429"/>
      <c r="G2" s="366" t="s">
        <v>7</v>
      </c>
      <c r="H2" s="367"/>
      <c r="I2" s="367"/>
      <c r="J2" s="367"/>
      <c r="K2" s="367"/>
      <c r="L2" s="368"/>
      <c r="M2" s="5" t="s">
        <v>8</v>
      </c>
      <c r="N2" s="51"/>
      <c r="O2" s="48" t="s">
        <v>9</v>
      </c>
      <c r="P2" s="48"/>
      <c r="Q2" s="6"/>
      <c r="R2" s="6"/>
      <c r="S2" s="6"/>
      <c r="T2" s="7"/>
      <c r="U2" s="138" t="s">
        <v>10</v>
      </c>
      <c r="V2" s="374" t="s">
        <v>11</v>
      </c>
      <c r="W2" s="374"/>
      <c r="X2" s="374"/>
      <c r="Y2" s="374"/>
      <c r="Z2" s="374"/>
      <c r="AA2" s="375"/>
    </row>
    <row r="3" spans="1:28" ht="51" customHeight="1" thickBot="1">
      <c r="A3" s="8"/>
      <c r="B3" s="394"/>
      <c r="C3" s="429"/>
      <c r="D3" s="429"/>
      <c r="E3" s="429"/>
      <c r="F3" s="429"/>
      <c r="G3" s="369"/>
      <c r="H3" s="369"/>
      <c r="I3" s="369"/>
      <c r="J3" s="369"/>
      <c r="K3" s="369"/>
      <c r="L3" s="370"/>
      <c r="M3" s="9" t="s">
        <v>12</v>
      </c>
      <c r="O3" s="52"/>
      <c r="P3" s="52"/>
      <c r="Q3" s="52"/>
      <c r="R3" s="52"/>
      <c r="S3" s="52"/>
      <c r="T3" s="53"/>
      <c r="U3" s="138" t="s">
        <v>13</v>
      </c>
      <c r="V3" s="374" t="s">
        <v>14</v>
      </c>
      <c r="W3" s="374"/>
      <c r="X3" s="374"/>
      <c r="Y3" s="374"/>
      <c r="Z3" s="374"/>
      <c r="AA3" s="375"/>
    </row>
    <row r="4" spans="1:28" ht="90" customHeight="1" thickBot="1">
      <c r="A4" s="10"/>
      <c r="B4" s="395" t="s">
        <v>15</v>
      </c>
      <c r="C4" s="430">
        <v>7090</v>
      </c>
      <c r="D4" s="430">
        <v>7090</v>
      </c>
      <c r="E4" s="430">
        <v>7090</v>
      </c>
      <c r="F4" s="430">
        <v>7090</v>
      </c>
      <c r="G4" s="371"/>
      <c r="H4" s="372"/>
      <c r="I4" s="372"/>
      <c r="J4" s="372"/>
      <c r="K4" s="372"/>
      <c r="L4" s="373"/>
      <c r="M4" s="11" t="s">
        <v>16</v>
      </c>
      <c r="N4" s="54"/>
      <c r="O4" s="54"/>
      <c r="P4" s="54"/>
      <c r="Q4" s="54"/>
      <c r="R4" s="54"/>
      <c r="S4" s="54"/>
      <c r="T4" s="55"/>
      <c r="U4" s="56" t="s">
        <v>17</v>
      </c>
      <c r="V4" s="376" t="s">
        <v>18</v>
      </c>
      <c r="W4" s="376"/>
      <c r="X4" s="376"/>
      <c r="Y4" s="376"/>
      <c r="Z4" s="376"/>
      <c r="AA4" s="377"/>
      <c r="AB4" t="b">
        <v>1</v>
      </c>
    </row>
    <row r="5" spans="1:28" ht="27" customHeight="1" thickBot="1">
      <c r="A5" s="12">
        <v>2</v>
      </c>
      <c r="B5" s="396"/>
      <c r="C5" s="430"/>
      <c r="D5" s="430"/>
      <c r="E5" s="430"/>
      <c r="F5" s="430"/>
      <c r="G5" s="13"/>
      <c r="H5" s="14" t="s">
        <v>19</v>
      </c>
      <c r="I5" s="295" t="s">
        <v>20</v>
      </c>
      <c r="J5" s="16"/>
      <c r="K5" s="16"/>
      <c r="L5" s="16"/>
      <c r="M5" s="16"/>
      <c r="N5" s="16"/>
      <c r="O5" s="17"/>
      <c r="P5" s="49"/>
      <c r="Q5" s="18" t="s">
        <v>21</v>
      </c>
      <c r="R5" s="19"/>
      <c r="S5" s="20" t="s">
        <v>22</v>
      </c>
      <c r="T5" s="21"/>
      <c r="U5" s="381" t="s">
        <v>23</v>
      </c>
      <c r="V5" s="382"/>
      <c r="W5" s="382"/>
      <c r="X5" s="382"/>
      <c r="Y5" s="382"/>
      <c r="Z5" s="382"/>
      <c r="AA5" s="383"/>
    </row>
    <row r="6" spans="1:28" ht="86.45" customHeight="1" thickBot="1">
      <c r="A6" s="22">
        <v>3</v>
      </c>
      <c r="B6" s="139" t="s">
        <v>24</v>
      </c>
      <c r="C6" s="304" t="s">
        <v>2</v>
      </c>
      <c r="D6" s="304" t="s">
        <v>2</v>
      </c>
      <c r="E6" s="304" t="s">
        <v>2</v>
      </c>
      <c r="F6" s="304" t="s">
        <v>2</v>
      </c>
      <c r="G6" s="140" t="s">
        <v>25</v>
      </c>
      <c r="H6" s="57" t="s">
        <v>26</v>
      </c>
      <c r="I6" s="296" t="s">
        <v>27</v>
      </c>
      <c r="J6" s="23" t="s">
        <v>28</v>
      </c>
      <c r="K6" s="42" t="s">
        <v>29</v>
      </c>
      <c r="L6" s="41" t="s">
        <v>30</v>
      </c>
      <c r="M6" s="43" t="s">
        <v>31</v>
      </c>
      <c r="N6" s="43" t="s">
        <v>32</v>
      </c>
      <c r="O6" s="41" t="s">
        <v>33</v>
      </c>
      <c r="P6" s="41" t="s">
        <v>34</v>
      </c>
      <c r="Q6" s="44" t="s">
        <v>35</v>
      </c>
      <c r="R6" s="45" t="s">
        <v>36</v>
      </c>
      <c r="S6" s="44" t="s">
        <v>35</v>
      </c>
      <c r="T6" s="45" t="s">
        <v>37</v>
      </c>
      <c r="U6" s="46" t="s">
        <v>38</v>
      </c>
      <c r="V6" s="46" t="s">
        <v>39</v>
      </c>
      <c r="W6" s="46" t="s">
        <v>40</v>
      </c>
      <c r="X6" s="47" t="s">
        <v>41</v>
      </c>
      <c r="Y6" s="46" t="s">
        <v>42</v>
      </c>
      <c r="Z6" s="24" t="s">
        <v>43</v>
      </c>
      <c r="AA6" s="50" t="s">
        <v>44</v>
      </c>
    </row>
    <row r="7" spans="1:28" ht="52.9" customHeight="1" thickBot="1">
      <c r="A7" s="25">
        <v>4</v>
      </c>
      <c r="B7" s="141" t="s">
        <v>45</v>
      </c>
      <c r="C7" s="303">
        <v>79</v>
      </c>
      <c r="D7" s="303">
        <v>1</v>
      </c>
      <c r="E7" s="303">
        <v>2</v>
      </c>
      <c r="F7" s="303">
        <v>1</v>
      </c>
      <c r="G7" s="142"/>
      <c r="H7" s="32">
        <v>7</v>
      </c>
      <c r="I7" s="297">
        <v>8</v>
      </c>
      <c r="J7" s="26">
        <v>9</v>
      </c>
      <c r="K7" s="32" t="s">
        <v>46</v>
      </c>
      <c r="L7" s="26" t="s">
        <v>47</v>
      </c>
      <c r="M7" s="32" t="s">
        <v>48</v>
      </c>
      <c r="N7" s="32" t="s">
        <v>49</v>
      </c>
      <c r="O7" s="32" t="s">
        <v>50</v>
      </c>
      <c r="P7" s="137" t="s">
        <v>51</v>
      </c>
      <c r="Q7" s="32">
        <v>13</v>
      </c>
      <c r="R7" s="27">
        <v>14</v>
      </c>
      <c r="S7" s="32">
        <v>15</v>
      </c>
      <c r="T7" s="27">
        <v>16</v>
      </c>
      <c r="U7" s="328">
        <v>17</v>
      </c>
      <c r="V7" s="329"/>
      <c r="W7" s="32">
        <v>18</v>
      </c>
      <c r="X7" s="27">
        <v>19</v>
      </c>
      <c r="Y7" s="32">
        <v>20</v>
      </c>
      <c r="Z7" s="27">
        <v>21</v>
      </c>
      <c r="AA7" s="39">
        <v>22</v>
      </c>
    </row>
    <row r="8" spans="1:28" s="283" customFormat="1" ht="33" customHeight="1" thickBot="1">
      <c r="A8" s="435">
        <v>5</v>
      </c>
      <c r="B8" s="437" t="s">
        <v>52</v>
      </c>
      <c r="C8" s="270">
        <v>1</v>
      </c>
      <c r="D8" s="270"/>
      <c r="E8" s="270"/>
      <c r="F8" s="270"/>
      <c r="G8" s="271">
        <v>1</v>
      </c>
      <c r="H8" s="272">
        <v>79</v>
      </c>
      <c r="I8" s="298" t="s">
        <v>164</v>
      </c>
      <c r="J8" s="273" t="s">
        <v>165</v>
      </c>
      <c r="K8" s="273" t="s">
        <v>166</v>
      </c>
      <c r="L8" s="273" t="s">
        <v>166</v>
      </c>
      <c r="M8" s="272" t="s">
        <v>167</v>
      </c>
      <c r="N8" s="274" t="s">
        <v>65</v>
      </c>
      <c r="O8" s="275" t="s">
        <v>14</v>
      </c>
      <c r="P8" s="276"/>
      <c r="Q8" s="272">
        <v>0</v>
      </c>
      <c r="R8" s="277"/>
      <c r="S8" s="272">
        <v>1</v>
      </c>
      <c r="T8" s="277"/>
      <c r="U8" s="278" t="s">
        <v>58</v>
      </c>
      <c r="V8" s="279">
        <v>145</v>
      </c>
      <c r="W8" s="280">
        <v>20</v>
      </c>
      <c r="X8" s="277"/>
      <c r="Y8" s="281" t="s">
        <v>66</v>
      </c>
      <c r="Z8" s="277"/>
      <c r="AA8" s="282" t="s">
        <v>60</v>
      </c>
    </row>
    <row r="9" spans="1:28" s="283" customFormat="1" ht="33" customHeight="1" thickBot="1">
      <c r="A9" s="436"/>
      <c r="B9" s="438"/>
      <c r="C9" s="270">
        <v>1</v>
      </c>
      <c r="D9" s="270"/>
      <c r="E9" s="270"/>
      <c r="F9" s="270"/>
      <c r="G9" s="284">
        <v>2</v>
      </c>
      <c r="H9" s="272">
        <v>79</v>
      </c>
      <c r="I9" s="299" t="s">
        <v>1803</v>
      </c>
      <c r="J9" s="273" t="s">
        <v>168</v>
      </c>
      <c r="K9" s="273" t="s">
        <v>169</v>
      </c>
      <c r="L9" s="273" t="s">
        <v>169</v>
      </c>
      <c r="M9" s="280" t="s">
        <v>167</v>
      </c>
      <c r="N9" s="274" t="s">
        <v>65</v>
      </c>
      <c r="O9" s="280" t="s">
        <v>14</v>
      </c>
      <c r="P9" s="276"/>
      <c r="Q9" s="275">
        <v>0</v>
      </c>
      <c r="R9" s="285"/>
      <c r="S9" s="275">
        <v>1</v>
      </c>
      <c r="T9" s="285"/>
      <c r="U9" s="286" t="s">
        <v>58</v>
      </c>
      <c r="V9" s="279">
        <v>192</v>
      </c>
      <c r="W9" s="280">
        <v>20</v>
      </c>
      <c r="X9" s="285"/>
      <c r="Y9" s="286" t="s">
        <v>80</v>
      </c>
      <c r="Z9" s="285"/>
      <c r="AA9" s="282" t="s">
        <v>60</v>
      </c>
    </row>
    <row r="10" spans="1:28" s="283" customFormat="1" ht="33" customHeight="1" thickBot="1">
      <c r="A10" s="436"/>
      <c r="B10" s="438"/>
      <c r="C10" s="287">
        <v>1</v>
      </c>
      <c r="D10" s="287"/>
      <c r="E10" s="287"/>
      <c r="F10" s="287"/>
      <c r="G10" s="288">
        <v>3</v>
      </c>
      <c r="H10" s="272">
        <v>79</v>
      </c>
      <c r="I10" s="298" t="s">
        <v>164</v>
      </c>
      <c r="J10" s="273" t="s">
        <v>170</v>
      </c>
      <c r="K10" s="273" t="s">
        <v>171</v>
      </c>
      <c r="L10" s="273" t="s">
        <v>171</v>
      </c>
      <c r="M10" s="280" t="s">
        <v>172</v>
      </c>
      <c r="N10" s="274" t="s">
        <v>65</v>
      </c>
      <c r="O10" s="280" t="s">
        <v>14</v>
      </c>
      <c r="P10" s="276"/>
      <c r="Q10" s="280">
        <v>0</v>
      </c>
      <c r="R10" s="289"/>
      <c r="S10" s="280">
        <v>1</v>
      </c>
      <c r="T10" s="289"/>
      <c r="U10" s="286" t="s">
        <v>58</v>
      </c>
      <c r="V10" s="279">
        <v>176</v>
      </c>
      <c r="W10" s="280">
        <v>20</v>
      </c>
      <c r="X10" s="289"/>
      <c r="Y10" s="281" t="s">
        <v>66</v>
      </c>
      <c r="Z10" s="289"/>
      <c r="AA10" s="282" t="s">
        <v>60</v>
      </c>
    </row>
    <row r="11" spans="1:28" s="283" customFormat="1" ht="40.5" customHeight="1" thickBot="1">
      <c r="A11" s="436"/>
      <c r="B11" s="438"/>
      <c r="C11" s="287">
        <v>1</v>
      </c>
      <c r="D11" s="287"/>
      <c r="E11" s="287"/>
      <c r="F11" s="287"/>
      <c r="G11" s="271">
        <v>4</v>
      </c>
      <c r="H11" s="272">
        <v>79</v>
      </c>
      <c r="I11" s="299" t="s">
        <v>1804</v>
      </c>
      <c r="J11" s="273" t="s">
        <v>173</v>
      </c>
      <c r="K11" s="273" t="s">
        <v>174</v>
      </c>
      <c r="L11" s="273" t="s">
        <v>174</v>
      </c>
      <c r="M11" s="280" t="s">
        <v>175</v>
      </c>
      <c r="N11" s="274" t="s">
        <v>71</v>
      </c>
      <c r="O11" s="280" t="s">
        <v>14</v>
      </c>
      <c r="P11" s="276"/>
      <c r="Q11" s="280">
        <v>0</v>
      </c>
      <c r="R11" s="289"/>
      <c r="S11" s="280">
        <v>1</v>
      </c>
      <c r="T11" s="289"/>
      <c r="U11" s="286" t="s">
        <v>58</v>
      </c>
      <c r="V11" s="279">
        <v>243</v>
      </c>
      <c r="W11" s="280">
        <v>20</v>
      </c>
      <c r="X11" s="289"/>
      <c r="Y11" s="286" t="s">
        <v>80</v>
      </c>
      <c r="Z11" s="289"/>
      <c r="AA11" s="282" t="s">
        <v>60</v>
      </c>
    </row>
    <row r="12" spans="1:28" s="283" customFormat="1" ht="33" customHeight="1" thickBot="1">
      <c r="A12" s="436"/>
      <c r="B12" s="438"/>
      <c r="C12" s="287">
        <v>1</v>
      </c>
      <c r="D12" s="287"/>
      <c r="E12" s="287"/>
      <c r="F12" s="287"/>
      <c r="G12" s="284">
        <v>5</v>
      </c>
      <c r="H12" s="272">
        <v>79</v>
      </c>
      <c r="I12" s="299" t="s">
        <v>1803</v>
      </c>
      <c r="J12" s="273" t="s">
        <v>176</v>
      </c>
      <c r="K12" s="273" t="s">
        <v>177</v>
      </c>
      <c r="L12" s="273" t="s">
        <v>177</v>
      </c>
      <c r="M12" s="280" t="s">
        <v>127</v>
      </c>
      <c r="N12" s="274" t="s">
        <v>65</v>
      </c>
      <c r="O12" s="280" t="s">
        <v>14</v>
      </c>
      <c r="P12" s="276"/>
      <c r="Q12" s="280">
        <v>0</v>
      </c>
      <c r="R12" s="289"/>
      <c r="S12" s="290">
        <v>1</v>
      </c>
      <c r="T12" s="289"/>
      <c r="U12" s="286" t="s">
        <v>58</v>
      </c>
      <c r="V12" s="279">
        <v>132</v>
      </c>
      <c r="W12" s="280">
        <v>20</v>
      </c>
      <c r="X12" s="289"/>
      <c r="Y12" s="286" t="s">
        <v>80</v>
      </c>
      <c r="Z12" s="289"/>
      <c r="AA12" s="282" t="s">
        <v>60</v>
      </c>
    </row>
    <row r="13" spans="1:28" s="283" customFormat="1" ht="33" customHeight="1" thickBot="1">
      <c r="A13" s="436"/>
      <c r="B13" s="438"/>
      <c r="C13" s="287">
        <v>1</v>
      </c>
      <c r="D13" s="270"/>
      <c r="E13" s="287"/>
      <c r="F13" s="287"/>
      <c r="G13" s="288">
        <v>6</v>
      </c>
      <c r="H13" s="272">
        <v>79</v>
      </c>
      <c r="I13" s="298" t="s">
        <v>178</v>
      </c>
      <c r="J13" s="273" t="s">
        <v>179</v>
      </c>
      <c r="K13" s="273" t="s">
        <v>180</v>
      </c>
      <c r="L13" s="273" t="s">
        <v>180</v>
      </c>
      <c r="M13" s="280" t="s">
        <v>56</v>
      </c>
      <c r="N13" s="274" t="s">
        <v>57</v>
      </c>
      <c r="O13" s="280" t="s">
        <v>14</v>
      </c>
      <c r="P13" s="276"/>
      <c r="Q13" s="280">
        <v>0</v>
      </c>
      <c r="R13" s="289"/>
      <c r="S13" s="290">
        <v>1</v>
      </c>
      <c r="T13" s="289"/>
      <c r="U13" s="286" t="s">
        <v>58</v>
      </c>
      <c r="V13" s="279">
        <v>1466</v>
      </c>
      <c r="W13" s="280">
        <v>24</v>
      </c>
      <c r="X13" s="289"/>
      <c r="Y13" s="281" t="s">
        <v>59</v>
      </c>
      <c r="Z13" s="289"/>
      <c r="AA13" s="282" t="s">
        <v>60</v>
      </c>
    </row>
    <row r="14" spans="1:28" s="283" customFormat="1" ht="33" customHeight="1" thickBot="1">
      <c r="A14" s="436"/>
      <c r="B14" s="438"/>
      <c r="C14" s="287"/>
      <c r="D14" s="270">
        <v>1</v>
      </c>
      <c r="E14" s="287"/>
      <c r="F14" s="287"/>
      <c r="G14" s="271">
        <v>7</v>
      </c>
      <c r="H14" s="290">
        <v>1</v>
      </c>
      <c r="I14" s="298" t="s">
        <v>181</v>
      </c>
      <c r="J14" s="273" t="s">
        <v>182</v>
      </c>
      <c r="K14" s="273" t="s">
        <v>183</v>
      </c>
      <c r="L14" s="273" t="s">
        <v>183</v>
      </c>
      <c r="M14" s="272" t="s">
        <v>167</v>
      </c>
      <c r="N14" s="274" t="s">
        <v>65</v>
      </c>
      <c r="O14" s="280" t="s">
        <v>14</v>
      </c>
      <c r="P14" s="276"/>
      <c r="Q14" s="280">
        <v>0</v>
      </c>
      <c r="R14" s="289"/>
      <c r="S14" s="290">
        <v>1</v>
      </c>
      <c r="T14" s="289"/>
      <c r="U14" s="286" t="s">
        <v>58</v>
      </c>
      <c r="V14" s="291">
        <v>242</v>
      </c>
      <c r="W14" s="280">
        <v>20</v>
      </c>
      <c r="X14" s="289"/>
      <c r="Y14" s="281" t="s">
        <v>66</v>
      </c>
      <c r="Z14" s="289"/>
      <c r="AA14" s="282" t="s">
        <v>60</v>
      </c>
    </row>
    <row r="15" spans="1:28" s="283" customFormat="1" ht="33" customHeight="1" thickBot="1">
      <c r="A15" s="436"/>
      <c r="B15" s="438"/>
      <c r="C15" s="287"/>
      <c r="D15" s="270">
        <v>1</v>
      </c>
      <c r="E15" s="287"/>
      <c r="F15" s="287"/>
      <c r="G15" s="284">
        <v>8</v>
      </c>
      <c r="H15" s="290">
        <v>1</v>
      </c>
      <c r="I15" s="299" t="s">
        <v>1805</v>
      </c>
      <c r="J15" s="273" t="s">
        <v>184</v>
      </c>
      <c r="K15" s="273" t="s">
        <v>185</v>
      </c>
      <c r="L15" s="273" t="s">
        <v>185</v>
      </c>
      <c r="M15" s="280" t="s">
        <v>167</v>
      </c>
      <c r="N15" s="274" t="s">
        <v>65</v>
      </c>
      <c r="O15" s="280" t="s">
        <v>14</v>
      </c>
      <c r="P15" s="276"/>
      <c r="Q15" s="280">
        <v>0</v>
      </c>
      <c r="R15" s="289"/>
      <c r="S15" s="290">
        <v>1</v>
      </c>
      <c r="T15" s="289"/>
      <c r="U15" s="286" t="s">
        <v>58</v>
      </c>
      <c r="V15" s="292">
        <v>320</v>
      </c>
      <c r="W15" s="280">
        <v>20</v>
      </c>
      <c r="X15" s="289"/>
      <c r="Y15" s="286" t="s">
        <v>80</v>
      </c>
      <c r="Z15" s="289"/>
      <c r="AA15" s="282" t="s">
        <v>60</v>
      </c>
    </row>
    <row r="16" spans="1:28" s="283" customFormat="1" ht="33" customHeight="1" thickBot="1">
      <c r="A16" s="436"/>
      <c r="B16" s="438"/>
      <c r="C16" s="287"/>
      <c r="D16" s="287">
        <v>1</v>
      </c>
      <c r="E16" s="287"/>
      <c r="F16" s="287"/>
      <c r="G16" s="288">
        <v>9</v>
      </c>
      <c r="H16" s="290">
        <v>1</v>
      </c>
      <c r="I16" s="298" t="s">
        <v>181</v>
      </c>
      <c r="J16" s="273" t="s">
        <v>186</v>
      </c>
      <c r="K16" s="273" t="s">
        <v>187</v>
      </c>
      <c r="L16" s="273" t="s">
        <v>187</v>
      </c>
      <c r="M16" s="280" t="s">
        <v>172</v>
      </c>
      <c r="N16" s="274" t="s">
        <v>65</v>
      </c>
      <c r="O16" s="280" t="s">
        <v>14</v>
      </c>
      <c r="P16" s="276"/>
      <c r="Q16" s="280">
        <v>0</v>
      </c>
      <c r="R16" s="289"/>
      <c r="S16" s="290">
        <v>1</v>
      </c>
      <c r="T16" s="289"/>
      <c r="U16" s="286" t="s">
        <v>58</v>
      </c>
      <c r="V16" s="291">
        <v>294</v>
      </c>
      <c r="W16" s="280">
        <v>20</v>
      </c>
      <c r="X16" s="289"/>
      <c r="Y16" s="281" t="s">
        <v>66</v>
      </c>
      <c r="Z16" s="289"/>
      <c r="AA16" s="282" t="s">
        <v>60</v>
      </c>
    </row>
    <row r="17" spans="1:27" s="283" customFormat="1" ht="45" customHeight="1">
      <c r="A17" s="436"/>
      <c r="B17" s="438"/>
      <c r="C17" s="287"/>
      <c r="D17" s="287">
        <v>1</v>
      </c>
      <c r="E17" s="287"/>
      <c r="F17" s="287"/>
      <c r="G17" s="271">
        <v>10</v>
      </c>
      <c r="H17" s="290">
        <v>1</v>
      </c>
      <c r="I17" s="299" t="s">
        <v>1807</v>
      </c>
      <c r="J17" s="273" t="s">
        <v>188</v>
      </c>
      <c r="K17" s="273" t="s">
        <v>189</v>
      </c>
      <c r="L17" s="273" t="s">
        <v>189</v>
      </c>
      <c r="M17" s="280" t="s">
        <v>175</v>
      </c>
      <c r="N17" s="274" t="s">
        <v>71</v>
      </c>
      <c r="O17" s="280" t="s">
        <v>14</v>
      </c>
      <c r="P17" s="275"/>
      <c r="Q17" s="280">
        <v>0</v>
      </c>
      <c r="R17" s="289"/>
      <c r="S17" s="290">
        <v>1</v>
      </c>
      <c r="T17" s="289"/>
      <c r="U17" s="286" t="s">
        <v>58</v>
      </c>
      <c r="V17" s="291">
        <v>405</v>
      </c>
      <c r="W17" s="280">
        <v>20</v>
      </c>
      <c r="X17" s="289"/>
      <c r="Y17" s="286" t="s">
        <v>80</v>
      </c>
      <c r="Z17" s="289"/>
      <c r="AA17" s="293" t="s">
        <v>60</v>
      </c>
    </row>
    <row r="18" spans="1:27" s="283" customFormat="1" ht="33" customHeight="1" thickBot="1">
      <c r="A18" s="436"/>
      <c r="B18" s="438"/>
      <c r="C18" s="287"/>
      <c r="D18" s="287">
        <v>1</v>
      </c>
      <c r="E18" s="287"/>
      <c r="F18" s="287"/>
      <c r="G18" s="284">
        <v>11</v>
      </c>
      <c r="H18" s="290">
        <v>1</v>
      </c>
      <c r="I18" s="299" t="s">
        <v>1806</v>
      </c>
      <c r="J18" s="273" t="s">
        <v>190</v>
      </c>
      <c r="K18" s="273" t="s">
        <v>191</v>
      </c>
      <c r="L18" s="273" t="s">
        <v>191</v>
      </c>
      <c r="M18" s="280" t="s">
        <v>127</v>
      </c>
      <c r="N18" s="274" t="s">
        <v>65</v>
      </c>
      <c r="O18" s="280" t="s">
        <v>14</v>
      </c>
      <c r="P18" s="276"/>
      <c r="Q18" s="280">
        <v>0</v>
      </c>
      <c r="R18" s="289"/>
      <c r="S18" s="290">
        <v>1</v>
      </c>
      <c r="T18" s="289"/>
      <c r="U18" s="286" t="s">
        <v>58</v>
      </c>
      <c r="V18" s="291">
        <v>220</v>
      </c>
      <c r="W18" s="280">
        <v>20</v>
      </c>
      <c r="X18" s="289"/>
      <c r="Y18" s="286" t="s">
        <v>80</v>
      </c>
      <c r="Z18" s="289"/>
      <c r="AA18" s="293" t="s">
        <v>60</v>
      </c>
    </row>
    <row r="19" spans="1:27" s="283" customFormat="1" ht="33" customHeight="1" thickBot="1">
      <c r="A19" s="436"/>
      <c r="B19" s="438"/>
      <c r="C19" s="287"/>
      <c r="D19" s="287">
        <v>1</v>
      </c>
      <c r="E19" s="270"/>
      <c r="F19" s="287"/>
      <c r="G19" s="288">
        <v>12</v>
      </c>
      <c r="H19" s="290">
        <v>1</v>
      </c>
      <c r="I19" s="298" t="s">
        <v>192</v>
      </c>
      <c r="J19" s="273" t="s">
        <v>193</v>
      </c>
      <c r="K19" s="273" t="s">
        <v>194</v>
      </c>
      <c r="L19" s="273" t="s">
        <v>194</v>
      </c>
      <c r="M19" s="280" t="s">
        <v>56</v>
      </c>
      <c r="N19" s="274" t="s">
        <v>57</v>
      </c>
      <c r="O19" s="280" t="s">
        <v>14</v>
      </c>
      <c r="P19" s="276"/>
      <c r="Q19" s="280">
        <v>0</v>
      </c>
      <c r="R19" s="289"/>
      <c r="S19" s="290">
        <v>1</v>
      </c>
      <c r="T19" s="289"/>
      <c r="U19" s="286" t="s">
        <v>58</v>
      </c>
      <c r="V19" s="279">
        <v>5045</v>
      </c>
      <c r="W19" s="280">
        <v>24</v>
      </c>
      <c r="X19" s="289"/>
      <c r="Y19" s="281" t="s">
        <v>59</v>
      </c>
      <c r="Z19" s="289"/>
      <c r="AA19" s="282" t="s">
        <v>60</v>
      </c>
    </row>
    <row r="20" spans="1:27" s="283" customFormat="1" ht="33" customHeight="1">
      <c r="A20" s="436"/>
      <c r="B20" s="438"/>
      <c r="C20" s="287"/>
      <c r="D20" s="287"/>
      <c r="E20" s="270">
        <v>1</v>
      </c>
      <c r="F20" s="287"/>
      <c r="G20" s="271">
        <v>13</v>
      </c>
      <c r="H20" s="290">
        <v>2</v>
      </c>
      <c r="I20" s="298" t="s">
        <v>195</v>
      </c>
      <c r="J20" s="273" t="s">
        <v>196</v>
      </c>
      <c r="K20" s="273" t="s">
        <v>197</v>
      </c>
      <c r="L20" s="273" t="s">
        <v>197</v>
      </c>
      <c r="M20" s="272" t="s">
        <v>167</v>
      </c>
      <c r="N20" s="274" t="s">
        <v>65</v>
      </c>
      <c r="O20" s="280" t="s">
        <v>14</v>
      </c>
      <c r="P20" s="276"/>
      <c r="Q20" s="280">
        <v>0</v>
      </c>
      <c r="R20" s="289"/>
      <c r="S20" s="290">
        <v>1</v>
      </c>
      <c r="T20" s="289"/>
      <c r="U20" s="286" t="s">
        <v>58</v>
      </c>
      <c r="V20" s="279">
        <v>404</v>
      </c>
      <c r="W20" s="280">
        <v>20</v>
      </c>
      <c r="X20" s="289"/>
      <c r="Y20" s="281" t="s">
        <v>66</v>
      </c>
      <c r="Z20" s="289"/>
      <c r="AA20" s="293" t="s">
        <v>60</v>
      </c>
    </row>
    <row r="21" spans="1:27" s="283" customFormat="1" ht="33" customHeight="1">
      <c r="A21" s="436"/>
      <c r="B21" s="438"/>
      <c r="C21" s="287"/>
      <c r="D21" s="287"/>
      <c r="E21" s="270">
        <v>1</v>
      </c>
      <c r="F21" s="287"/>
      <c r="G21" s="284">
        <v>14</v>
      </c>
      <c r="H21" s="290">
        <v>2</v>
      </c>
      <c r="I21" s="299" t="s">
        <v>1809</v>
      </c>
      <c r="J21" s="273" t="s">
        <v>198</v>
      </c>
      <c r="K21" s="273" t="s">
        <v>199</v>
      </c>
      <c r="L21" s="273" t="s">
        <v>199</v>
      </c>
      <c r="M21" s="280" t="s">
        <v>167</v>
      </c>
      <c r="N21" s="274" t="s">
        <v>65</v>
      </c>
      <c r="O21" s="280" t="s">
        <v>14</v>
      </c>
      <c r="P21" s="276"/>
      <c r="Q21" s="280">
        <v>0</v>
      </c>
      <c r="R21" s="289"/>
      <c r="S21" s="290">
        <v>1</v>
      </c>
      <c r="T21" s="289"/>
      <c r="U21" s="286" t="s">
        <v>58</v>
      </c>
      <c r="V21" s="279">
        <v>534</v>
      </c>
      <c r="W21" s="280">
        <v>20</v>
      </c>
      <c r="X21" s="289"/>
      <c r="Y21" s="286" t="s">
        <v>80</v>
      </c>
      <c r="Z21" s="289"/>
      <c r="AA21" s="293" t="s">
        <v>60</v>
      </c>
    </row>
    <row r="22" spans="1:27" s="283" customFormat="1" ht="33" customHeight="1" thickBot="1">
      <c r="A22" s="436"/>
      <c r="B22" s="438"/>
      <c r="C22" s="287"/>
      <c r="D22" s="287"/>
      <c r="E22" s="287">
        <v>1</v>
      </c>
      <c r="F22" s="287"/>
      <c r="G22" s="288">
        <v>15</v>
      </c>
      <c r="H22" s="290">
        <v>2</v>
      </c>
      <c r="I22" s="298" t="s">
        <v>195</v>
      </c>
      <c r="J22" s="273" t="s">
        <v>200</v>
      </c>
      <c r="K22" s="273" t="s">
        <v>201</v>
      </c>
      <c r="L22" s="273" t="s">
        <v>201</v>
      </c>
      <c r="M22" s="280" t="s">
        <v>172</v>
      </c>
      <c r="N22" s="274" t="s">
        <v>65</v>
      </c>
      <c r="O22" s="280" t="s">
        <v>14</v>
      </c>
      <c r="P22" s="276"/>
      <c r="Q22" s="280">
        <v>0</v>
      </c>
      <c r="R22" s="289"/>
      <c r="S22" s="290">
        <v>1</v>
      </c>
      <c r="T22" s="289"/>
      <c r="U22" s="286" t="s">
        <v>58</v>
      </c>
      <c r="V22" s="279">
        <v>490</v>
      </c>
      <c r="W22" s="280">
        <v>20</v>
      </c>
      <c r="X22" s="289"/>
      <c r="Y22" s="281" t="s">
        <v>66</v>
      </c>
      <c r="Z22" s="289"/>
      <c r="AA22" s="293" t="s">
        <v>60</v>
      </c>
    </row>
    <row r="23" spans="1:27" s="283" customFormat="1" ht="45.75" customHeight="1">
      <c r="A23" s="436"/>
      <c r="B23" s="438"/>
      <c r="C23" s="287"/>
      <c r="D23" s="287"/>
      <c r="E23" s="287">
        <v>1</v>
      </c>
      <c r="F23" s="287"/>
      <c r="G23" s="271">
        <v>16</v>
      </c>
      <c r="H23" s="290">
        <v>2</v>
      </c>
      <c r="I23" s="299" t="s">
        <v>1808</v>
      </c>
      <c r="J23" s="273" t="s">
        <v>202</v>
      </c>
      <c r="K23" s="273" t="s">
        <v>203</v>
      </c>
      <c r="L23" s="273" t="s">
        <v>203</v>
      </c>
      <c r="M23" s="280" t="s">
        <v>175</v>
      </c>
      <c r="N23" s="274" t="s">
        <v>71</v>
      </c>
      <c r="O23" s="280" t="s">
        <v>14</v>
      </c>
      <c r="P23" s="276"/>
      <c r="Q23" s="280">
        <v>0</v>
      </c>
      <c r="R23" s="289"/>
      <c r="S23" s="290">
        <v>1</v>
      </c>
      <c r="T23" s="289"/>
      <c r="U23" s="286" t="s">
        <v>58</v>
      </c>
      <c r="V23" s="279">
        <v>675</v>
      </c>
      <c r="W23" s="280">
        <v>20</v>
      </c>
      <c r="X23" s="289"/>
      <c r="Y23" s="286" t="s">
        <v>80</v>
      </c>
      <c r="Z23" s="289"/>
      <c r="AA23" s="293" t="s">
        <v>60</v>
      </c>
    </row>
    <row r="24" spans="1:27" s="283" customFormat="1" ht="33" customHeight="1">
      <c r="A24" s="436"/>
      <c r="B24" s="438"/>
      <c r="C24" s="287"/>
      <c r="D24" s="287"/>
      <c r="E24" s="287">
        <v>1</v>
      </c>
      <c r="F24" s="287"/>
      <c r="G24" s="284">
        <v>17</v>
      </c>
      <c r="H24" s="290">
        <v>2</v>
      </c>
      <c r="I24" s="299" t="s">
        <v>1809</v>
      </c>
      <c r="J24" s="273" t="s">
        <v>204</v>
      </c>
      <c r="K24" s="273" t="s">
        <v>205</v>
      </c>
      <c r="L24" s="273" t="s">
        <v>205</v>
      </c>
      <c r="M24" s="280" t="s">
        <v>127</v>
      </c>
      <c r="N24" s="274" t="s">
        <v>65</v>
      </c>
      <c r="O24" s="280" t="s">
        <v>14</v>
      </c>
      <c r="P24" s="276"/>
      <c r="Q24" s="280">
        <v>0</v>
      </c>
      <c r="R24" s="289"/>
      <c r="S24" s="290">
        <v>1</v>
      </c>
      <c r="T24" s="289"/>
      <c r="U24" s="286" t="s">
        <v>58</v>
      </c>
      <c r="V24" s="279">
        <v>367</v>
      </c>
      <c r="W24" s="280">
        <v>20</v>
      </c>
      <c r="X24" s="289"/>
      <c r="Y24" s="286" t="s">
        <v>80</v>
      </c>
      <c r="Z24" s="289"/>
      <c r="AA24" s="293" t="s">
        <v>60</v>
      </c>
    </row>
    <row r="25" spans="1:27" s="283" customFormat="1" ht="33" customHeight="1" thickBot="1">
      <c r="A25" s="436"/>
      <c r="B25" s="438"/>
      <c r="C25" s="287"/>
      <c r="D25" s="287"/>
      <c r="E25" s="287">
        <v>1</v>
      </c>
      <c r="F25" s="270"/>
      <c r="G25" s="288">
        <v>18</v>
      </c>
      <c r="H25" s="290">
        <v>2</v>
      </c>
      <c r="I25" s="298" t="s">
        <v>206</v>
      </c>
      <c r="J25" s="273" t="s">
        <v>207</v>
      </c>
      <c r="K25" s="273" t="s">
        <v>208</v>
      </c>
      <c r="L25" s="273" t="s">
        <v>208</v>
      </c>
      <c r="M25" s="280" t="s">
        <v>56</v>
      </c>
      <c r="N25" s="274" t="s">
        <v>57</v>
      </c>
      <c r="O25" s="280" t="s">
        <v>14</v>
      </c>
      <c r="P25" s="276"/>
      <c r="Q25" s="280">
        <v>0</v>
      </c>
      <c r="R25" s="289"/>
      <c r="S25" s="290">
        <v>1</v>
      </c>
      <c r="T25" s="289"/>
      <c r="U25" s="286" t="s">
        <v>58</v>
      </c>
      <c r="V25" s="279">
        <v>5735</v>
      </c>
      <c r="W25" s="294">
        <v>24</v>
      </c>
      <c r="X25" s="289"/>
      <c r="Y25" s="281" t="s">
        <v>59</v>
      </c>
      <c r="Z25" s="289"/>
      <c r="AA25" s="293" t="s">
        <v>60</v>
      </c>
    </row>
    <row r="26" spans="1:27" s="283" customFormat="1" ht="33" customHeight="1">
      <c r="A26" s="436"/>
      <c r="B26" s="438"/>
      <c r="C26" s="287"/>
      <c r="D26" s="287"/>
      <c r="E26" s="287"/>
      <c r="F26" s="270">
        <v>1</v>
      </c>
      <c r="G26" s="271">
        <v>19</v>
      </c>
      <c r="H26" s="290">
        <v>1</v>
      </c>
      <c r="I26" s="298" t="s">
        <v>209</v>
      </c>
      <c r="J26" s="273" t="s">
        <v>210</v>
      </c>
      <c r="K26" s="273" t="s">
        <v>211</v>
      </c>
      <c r="L26" s="273" t="s">
        <v>211</v>
      </c>
      <c r="M26" s="272" t="s">
        <v>167</v>
      </c>
      <c r="N26" s="274" t="s">
        <v>65</v>
      </c>
      <c r="O26" s="280" t="s">
        <v>14</v>
      </c>
      <c r="P26" s="276"/>
      <c r="Q26" s="280">
        <v>0</v>
      </c>
      <c r="R26" s="289"/>
      <c r="S26" s="290">
        <v>1</v>
      </c>
      <c r="T26" s="289"/>
      <c r="U26" s="286" t="s">
        <v>58</v>
      </c>
      <c r="V26" s="279">
        <v>674</v>
      </c>
      <c r="W26" s="280">
        <v>20</v>
      </c>
      <c r="X26" s="289"/>
      <c r="Y26" s="281" t="s">
        <v>66</v>
      </c>
      <c r="Z26" s="289"/>
      <c r="AA26" s="293" t="s">
        <v>60</v>
      </c>
    </row>
    <row r="27" spans="1:27" s="283" customFormat="1" ht="33" customHeight="1">
      <c r="A27" s="436"/>
      <c r="B27" s="438"/>
      <c r="C27" s="287"/>
      <c r="D27" s="287"/>
      <c r="E27" s="287"/>
      <c r="F27" s="270">
        <v>1</v>
      </c>
      <c r="G27" s="284">
        <v>20</v>
      </c>
      <c r="H27" s="290">
        <v>1</v>
      </c>
      <c r="I27" s="299" t="s">
        <v>1810</v>
      </c>
      <c r="J27" s="273" t="s">
        <v>212</v>
      </c>
      <c r="K27" s="273" t="s">
        <v>213</v>
      </c>
      <c r="L27" s="273" t="s">
        <v>213</v>
      </c>
      <c r="M27" s="280" t="s">
        <v>167</v>
      </c>
      <c r="N27" s="274" t="s">
        <v>65</v>
      </c>
      <c r="O27" s="280" t="s">
        <v>14</v>
      </c>
      <c r="P27" s="276"/>
      <c r="Q27" s="280">
        <v>0</v>
      </c>
      <c r="R27" s="289"/>
      <c r="S27" s="290">
        <v>1</v>
      </c>
      <c r="T27" s="289"/>
      <c r="U27" s="286" t="s">
        <v>58</v>
      </c>
      <c r="V27" s="279">
        <v>890</v>
      </c>
      <c r="W27" s="280">
        <v>20</v>
      </c>
      <c r="X27" s="289"/>
      <c r="Y27" s="286" t="s">
        <v>80</v>
      </c>
      <c r="Z27" s="289"/>
      <c r="AA27" s="293" t="s">
        <v>60</v>
      </c>
    </row>
    <row r="28" spans="1:27" s="283" customFormat="1" ht="33" customHeight="1" thickBot="1">
      <c r="A28" s="436"/>
      <c r="B28" s="438"/>
      <c r="C28" s="287"/>
      <c r="D28" s="287"/>
      <c r="E28" s="287"/>
      <c r="F28" s="287">
        <v>1</v>
      </c>
      <c r="G28" s="288">
        <v>21</v>
      </c>
      <c r="H28" s="290">
        <v>1</v>
      </c>
      <c r="I28" s="298" t="s">
        <v>209</v>
      </c>
      <c r="J28" s="273" t="s">
        <v>214</v>
      </c>
      <c r="K28" s="273" t="s">
        <v>215</v>
      </c>
      <c r="L28" s="273" t="s">
        <v>215</v>
      </c>
      <c r="M28" s="280" t="s">
        <v>172</v>
      </c>
      <c r="N28" s="274" t="s">
        <v>65</v>
      </c>
      <c r="O28" s="280" t="s">
        <v>14</v>
      </c>
      <c r="P28" s="276"/>
      <c r="Q28" s="280">
        <v>0</v>
      </c>
      <c r="R28" s="289"/>
      <c r="S28" s="290">
        <v>1</v>
      </c>
      <c r="T28" s="289"/>
      <c r="U28" s="286" t="s">
        <v>58</v>
      </c>
      <c r="V28" s="279">
        <v>817</v>
      </c>
      <c r="W28" s="280">
        <v>20</v>
      </c>
      <c r="X28" s="289"/>
      <c r="Y28" s="281" t="s">
        <v>66</v>
      </c>
      <c r="Z28" s="289"/>
      <c r="AA28" s="293" t="s">
        <v>60</v>
      </c>
    </row>
    <row r="29" spans="1:27" s="283" customFormat="1" ht="45" customHeight="1">
      <c r="A29" s="436"/>
      <c r="B29" s="438"/>
      <c r="C29" s="287"/>
      <c r="D29" s="287"/>
      <c r="E29" s="287"/>
      <c r="F29" s="287">
        <v>1</v>
      </c>
      <c r="G29" s="271">
        <v>22</v>
      </c>
      <c r="H29" s="290">
        <v>1</v>
      </c>
      <c r="I29" s="299" t="s">
        <v>1811</v>
      </c>
      <c r="J29" s="273" t="s">
        <v>216</v>
      </c>
      <c r="K29" s="273" t="s">
        <v>217</v>
      </c>
      <c r="L29" s="273" t="s">
        <v>217</v>
      </c>
      <c r="M29" s="280" t="s">
        <v>175</v>
      </c>
      <c r="N29" s="274" t="s">
        <v>71</v>
      </c>
      <c r="O29" s="280" t="s">
        <v>14</v>
      </c>
      <c r="P29" s="276"/>
      <c r="Q29" s="280">
        <v>0</v>
      </c>
      <c r="R29" s="289"/>
      <c r="S29" s="290">
        <v>1</v>
      </c>
      <c r="T29" s="289"/>
      <c r="U29" s="286" t="s">
        <v>58</v>
      </c>
      <c r="V29" s="279">
        <v>1125</v>
      </c>
      <c r="W29" s="280">
        <v>20</v>
      </c>
      <c r="X29" s="289"/>
      <c r="Y29" s="286" t="s">
        <v>80</v>
      </c>
      <c r="Z29" s="289"/>
      <c r="AA29" s="293" t="s">
        <v>60</v>
      </c>
    </row>
    <row r="30" spans="1:27" s="283" customFormat="1" ht="33" customHeight="1">
      <c r="A30" s="436"/>
      <c r="B30" s="438"/>
      <c r="C30" s="287"/>
      <c r="D30" s="287"/>
      <c r="E30" s="287"/>
      <c r="F30" s="287">
        <v>1</v>
      </c>
      <c r="G30" s="284">
        <v>23</v>
      </c>
      <c r="H30" s="290">
        <v>1</v>
      </c>
      <c r="I30" s="299" t="s">
        <v>1810</v>
      </c>
      <c r="J30" s="273" t="s">
        <v>218</v>
      </c>
      <c r="K30" s="273" t="s">
        <v>219</v>
      </c>
      <c r="L30" s="273" t="s">
        <v>219</v>
      </c>
      <c r="M30" s="280" t="s">
        <v>127</v>
      </c>
      <c r="N30" s="274" t="s">
        <v>65</v>
      </c>
      <c r="O30" s="280" t="s">
        <v>14</v>
      </c>
      <c r="P30" s="276"/>
      <c r="Q30" s="280">
        <v>0</v>
      </c>
      <c r="R30" s="289"/>
      <c r="S30" s="290">
        <v>1</v>
      </c>
      <c r="T30" s="289"/>
      <c r="U30" s="286" t="s">
        <v>58</v>
      </c>
      <c r="V30" s="279">
        <v>612</v>
      </c>
      <c r="W30" s="280">
        <v>20</v>
      </c>
      <c r="X30" s="289"/>
      <c r="Y30" s="286" t="s">
        <v>80</v>
      </c>
      <c r="Z30" s="289"/>
      <c r="AA30" s="293" t="s">
        <v>60</v>
      </c>
    </row>
    <row r="31" spans="1:27" s="283" customFormat="1" ht="33" customHeight="1" thickBot="1">
      <c r="A31" s="436"/>
      <c r="B31" s="438"/>
      <c r="C31" s="287"/>
      <c r="D31" s="287"/>
      <c r="E31" s="287"/>
      <c r="F31" s="287">
        <v>1</v>
      </c>
      <c r="G31" s="288">
        <v>24</v>
      </c>
      <c r="H31" s="290">
        <v>1</v>
      </c>
      <c r="I31" s="298" t="s">
        <v>220</v>
      </c>
      <c r="J31" s="273" t="s">
        <v>221</v>
      </c>
      <c r="K31" s="273" t="s">
        <v>222</v>
      </c>
      <c r="L31" s="273" t="s">
        <v>222</v>
      </c>
      <c r="M31" s="280" t="s">
        <v>56</v>
      </c>
      <c r="N31" s="274" t="s">
        <v>57</v>
      </c>
      <c r="O31" s="280" t="s">
        <v>14</v>
      </c>
      <c r="P31" s="276"/>
      <c r="Q31" s="280">
        <v>0</v>
      </c>
      <c r="R31" s="289"/>
      <c r="S31" s="290">
        <v>1</v>
      </c>
      <c r="T31" s="289"/>
      <c r="U31" s="286" t="s">
        <v>58</v>
      </c>
      <c r="V31" s="279">
        <v>8705</v>
      </c>
      <c r="W31" s="294">
        <v>24</v>
      </c>
      <c r="X31" s="289"/>
      <c r="Y31" s="286" t="s">
        <v>59</v>
      </c>
      <c r="Z31" s="289"/>
      <c r="AA31" s="293" t="s">
        <v>60</v>
      </c>
    </row>
    <row r="32" spans="1:27" ht="35.450000000000003" customHeight="1">
      <c r="A32" s="385">
        <v>6</v>
      </c>
      <c r="B32" s="389" t="s">
        <v>137</v>
      </c>
      <c r="C32" s="335" t="s">
        <v>223</v>
      </c>
      <c r="D32" s="133"/>
      <c r="E32" s="133"/>
      <c r="F32" s="338"/>
      <c r="G32" s="341"/>
      <c r="H32" s="344"/>
      <c r="I32" s="72" t="s">
        <v>1825</v>
      </c>
      <c r="J32" s="70"/>
      <c r="K32" s="439" t="s">
        <v>139</v>
      </c>
      <c r="L32" s="439"/>
      <c r="M32" s="439"/>
      <c r="N32" s="439"/>
      <c r="O32" s="440"/>
      <c r="P32" s="441" t="s">
        <v>140</v>
      </c>
      <c r="Q32" s="442"/>
      <c r="R32" s="442"/>
      <c r="S32" s="442"/>
      <c r="T32" s="442"/>
      <c r="U32" s="442"/>
      <c r="V32" s="442"/>
      <c r="W32" s="204" t="s">
        <v>141</v>
      </c>
      <c r="X32" s="205"/>
      <c r="Y32" s="446" t="s">
        <v>1801</v>
      </c>
      <c r="Z32" s="446"/>
      <c r="AA32" s="447"/>
    </row>
    <row r="33" spans="1:27" ht="17.100000000000001" customHeight="1">
      <c r="A33" s="386"/>
      <c r="B33" s="390"/>
      <c r="C33" s="336"/>
      <c r="D33" s="134"/>
      <c r="E33" s="134"/>
      <c r="F33" s="339"/>
      <c r="G33" s="342"/>
      <c r="H33" s="345"/>
      <c r="I33" s="28" t="s">
        <v>142</v>
      </c>
      <c r="J33" s="66"/>
      <c r="K33" s="448" t="s">
        <v>143</v>
      </c>
      <c r="L33" s="448"/>
      <c r="M33" s="448"/>
      <c r="N33" s="448"/>
      <c r="O33" s="449"/>
      <c r="P33" s="441"/>
      <c r="Q33" s="443"/>
      <c r="R33" s="443"/>
      <c r="S33" s="443"/>
      <c r="T33" s="443"/>
      <c r="U33" s="443"/>
      <c r="V33" s="443"/>
      <c r="W33" s="206" t="s">
        <v>144</v>
      </c>
      <c r="X33" s="207"/>
      <c r="Y33" s="431" t="s">
        <v>1830</v>
      </c>
      <c r="Z33" s="431"/>
      <c r="AA33" s="432"/>
    </row>
    <row r="34" spans="1:27" ht="17.100000000000001" customHeight="1" thickBot="1">
      <c r="A34" s="386"/>
      <c r="B34" s="390"/>
      <c r="C34" s="336"/>
      <c r="D34" s="134"/>
      <c r="E34" s="134"/>
      <c r="F34" s="339"/>
      <c r="G34" s="342"/>
      <c r="H34" s="345"/>
      <c r="I34" s="29" t="s">
        <v>145</v>
      </c>
      <c r="J34" s="67"/>
      <c r="K34" s="448"/>
      <c r="L34" s="448"/>
      <c r="M34" s="448"/>
      <c r="N34" s="448"/>
      <c r="O34" s="449"/>
      <c r="P34" s="441"/>
      <c r="Q34" s="443"/>
      <c r="R34" s="443"/>
      <c r="S34" s="443"/>
      <c r="T34" s="443"/>
      <c r="U34" s="443"/>
      <c r="V34" s="443"/>
      <c r="W34" s="206" t="s">
        <v>146</v>
      </c>
      <c r="X34" s="207"/>
      <c r="Y34" s="431" t="s">
        <v>147</v>
      </c>
      <c r="Z34" s="431"/>
      <c r="AA34" s="432"/>
    </row>
    <row r="35" spans="1:27" ht="17.100000000000001" customHeight="1">
      <c r="A35" s="386"/>
      <c r="B35" s="390"/>
      <c r="C35" s="336"/>
      <c r="D35" s="134"/>
      <c r="E35" s="134"/>
      <c r="F35" s="339"/>
      <c r="G35" s="342"/>
      <c r="H35" s="345"/>
      <c r="I35" s="300" t="s">
        <v>148</v>
      </c>
      <c r="J35" s="63"/>
      <c r="K35" s="450"/>
      <c r="L35" s="448"/>
      <c r="M35" s="448"/>
      <c r="N35" s="448"/>
      <c r="O35" s="449"/>
      <c r="P35" s="441"/>
      <c r="Q35" s="443"/>
      <c r="R35" s="443"/>
      <c r="S35" s="443"/>
      <c r="T35" s="443"/>
      <c r="U35" s="443"/>
      <c r="V35" s="443"/>
      <c r="W35" s="208" t="s">
        <v>149</v>
      </c>
      <c r="X35" s="209"/>
      <c r="Y35" s="210">
        <v>3</v>
      </c>
      <c r="Z35" s="209" t="s">
        <v>150</v>
      </c>
      <c r="AA35" s="211">
        <v>5</v>
      </c>
    </row>
    <row r="36" spans="1:27" ht="41.45" customHeight="1" thickBot="1">
      <c r="A36" s="387"/>
      <c r="B36" s="391"/>
      <c r="C36" s="337"/>
      <c r="D36" s="135"/>
      <c r="E36" s="135"/>
      <c r="F36" s="340"/>
      <c r="G36" s="343"/>
      <c r="H36" s="346"/>
      <c r="I36" s="301" t="s">
        <v>151</v>
      </c>
      <c r="J36" s="30"/>
      <c r="K36" s="451"/>
      <c r="L36" s="452"/>
      <c r="M36" s="452"/>
      <c r="N36" s="452"/>
      <c r="O36" s="453"/>
      <c r="P36" s="444"/>
      <c r="Q36" s="445"/>
      <c r="R36" s="445"/>
      <c r="S36" s="445"/>
      <c r="T36" s="445"/>
      <c r="U36" s="445"/>
      <c r="V36" s="445"/>
      <c r="W36" s="212" t="s">
        <v>152</v>
      </c>
      <c r="X36" s="213"/>
      <c r="Y36" s="433"/>
      <c r="Z36" s="433"/>
      <c r="AA36" s="434"/>
    </row>
    <row r="37" spans="1:27" ht="17.100000000000001" customHeight="1" thickTop="1"/>
  </sheetData>
  <mergeCells count="33">
    <mergeCell ref="Y36:AA36"/>
    <mergeCell ref="U5:AA5"/>
    <mergeCell ref="U7:V7"/>
    <mergeCell ref="A8:A31"/>
    <mergeCell ref="B8:B31"/>
    <mergeCell ref="A32:A36"/>
    <mergeCell ref="B32:B36"/>
    <mergeCell ref="C32:C36"/>
    <mergeCell ref="F32:F36"/>
    <mergeCell ref="G32:G36"/>
    <mergeCell ref="H32:H36"/>
    <mergeCell ref="K32:O32"/>
    <mergeCell ref="P32:V36"/>
    <mergeCell ref="Y32:AA32"/>
    <mergeCell ref="K33:O36"/>
    <mergeCell ref="Y33:AA33"/>
    <mergeCell ref="Y34:AA34"/>
    <mergeCell ref="V1:AA1"/>
    <mergeCell ref="G2:L4"/>
    <mergeCell ref="V2:AA2"/>
    <mergeCell ref="V3:AA3"/>
    <mergeCell ref="V4:AA4"/>
    <mergeCell ref="G1:L1"/>
    <mergeCell ref="B4:B5"/>
    <mergeCell ref="C4:C5"/>
    <mergeCell ref="D4:D5"/>
    <mergeCell ref="E4:E5"/>
    <mergeCell ref="F4:F5"/>
    <mergeCell ref="B1:B3"/>
    <mergeCell ref="C1:C3"/>
    <mergeCell ref="D1:D3"/>
    <mergeCell ref="E1:E3"/>
    <mergeCell ref="F1:F3"/>
  </mergeCells>
  <dataValidations count="3">
    <dataValidation type="decimal" operator="greaterThan" showInputMessage="1" showErrorMessage="1" sqref="V16:V31 V8:V14" xr:uid="{2BA045A7-5054-4871-AD7A-4EB9E8E2FDAF}">
      <formula1>0</formula1>
    </dataValidation>
    <dataValidation type="decimal" showInputMessage="1" showErrorMessage="1" sqref="Q8:T31" xr:uid="{0572B51D-C830-490B-BBD3-52742B96DC33}">
      <formula1>0</formula1>
      <formula2>9999999</formula2>
    </dataValidation>
    <dataValidation showInputMessage="1" showErrorMessage="1" sqref="M8:M31" xr:uid="{9304297E-53AC-4ACF-B480-8DC9FFCEBAE4}"/>
  </dataValidations>
  <printOptions horizontalCentered="1" verticalCentered="1"/>
  <pageMargins left="0" right="0" top="0" bottom="0" header="0" footer="0"/>
  <pageSetup paperSize="8" scale="54" orientation="landscape" r:id="rId1"/>
  <headerFooter alignWithMargins="0">
    <oddFooter>&amp;C&amp;1#&amp;"Arial"&amp;6&amp;K626469Internal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locked="0" defaultSize="0" autoFill="0" autoLine="0" autoPict="0">
                <anchor moveWithCells="1">
                  <from>
                    <xdr:col>7</xdr:col>
                    <xdr:colOff>247650</xdr:colOff>
                    <xdr:row>0</xdr:row>
                    <xdr:rowOff>200025</xdr:rowOff>
                  </from>
                  <to>
                    <xdr:col>8</xdr:col>
                    <xdr:colOff>1428750</xdr:colOff>
                    <xdr:row>0</xdr:row>
                    <xdr:rowOff>352425</xdr:rowOff>
                  </to>
                </anchor>
              </controlPr>
            </control>
          </mc:Choice>
        </mc:AlternateContent>
        <mc:AlternateContent xmlns:mc="http://schemas.openxmlformats.org/markup-compatibility/2006">
          <mc:Choice Requires="x14">
            <control shapeId="4098" r:id="rId5" name="Check Box 2">
              <controlPr locked="0" defaultSize="0" autoFill="0" autoLine="0" autoPict="0">
                <anchor moveWithCells="1">
                  <from>
                    <xdr:col>7</xdr:col>
                    <xdr:colOff>247650</xdr:colOff>
                    <xdr:row>0</xdr:row>
                    <xdr:rowOff>361950</xdr:rowOff>
                  </from>
                  <to>
                    <xdr:col>8</xdr:col>
                    <xdr:colOff>1247775</xdr:colOff>
                    <xdr:row>0</xdr:row>
                    <xdr:rowOff>581025</xdr:rowOff>
                  </to>
                </anchor>
              </controlPr>
            </control>
          </mc:Choice>
        </mc:AlternateContent>
        <mc:AlternateContent xmlns:mc="http://schemas.openxmlformats.org/markup-compatibility/2006">
          <mc:Choice Requires="x14">
            <control shapeId="4099" r:id="rId6" name="Check Box 3">
              <controlPr locked="0" defaultSize="0" autoFill="0" autoLine="0" autoPict="0">
                <anchor moveWithCells="1">
                  <from>
                    <xdr:col>9</xdr:col>
                    <xdr:colOff>38100</xdr:colOff>
                    <xdr:row>0</xdr:row>
                    <xdr:rowOff>180975</xdr:rowOff>
                  </from>
                  <to>
                    <xdr:col>9</xdr:col>
                    <xdr:colOff>1162050</xdr:colOff>
                    <xdr:row>0</xdr:row>
                    <xdr:rowOff>352425</xdr:rowOff>
                  </to>
                </anchor>
              </controlPr>
            </control>
          </mc:Choice>
        </mc:AlternateContent>
        <mc:AlternateContent xmlns:mc="http://schemas.openxmlformats.org/markup-compatibility/2006">
          <mc:Choice Requires="x14">
            <control shapeId="4100" r:id="rId7" name="Check Box 4">
              <controlPr locked="0" defaultSize="0" autoFill="0" autoLine="0" autoPict="0">
                <anchor moveWithCells="1">
                  <from>
                    <xdr:col>9</xdr:col>
                    <xdr:colOff>38100</xdr:colOff>
                    <xdr:row>0</xdr:row>
                    <xdr:rowOff>352425</xdr:rowOff>
                  </from>
                  <to>
                    <xdr:col>9</xdr:col>
                    <xdr:colOff>1419225</xdr:colOff>
                    <xdr:row>1</xdr:row>
                    <xdr:rowOff>0</xdr:rowOff>
                  </to>
                </anchor>
              </controlPr>
            </control>
          </mc:Choice>
        </mc:AlternateContent>
        <mc:AlternateContent xmlns:mc="http://schemas.openxmlformats.org/markup-compatibility/2006">
          <mc:Choice Requires="x14">
            <control shapeId="4111" r:id="rId8" name="Check Box 15">
              <controlPr locked="0" defaultSize="0" autoFill="0" autoLine="0" autoPict="0">
                <anchor moveWithCells="1">
                  <from>
                    <xdr:col>7</xdr:col>
                    <xdr:colOff>247650</xdr:colOff>
                    <xdr:row>0</xdr:row>
                    <xdr:rowOff>200025</xdr:rowOff>
                  </from>
                  <to>
                    <xdr:col>8</xdr:col>
                    <xdr:colOff>1428750</xdr:colOff>
                    <xdr:row>0</xdr:row>
                    <xdr:rowOff>342900</xdr:rowOff>
                  </to>
                </anchor>
              </controlPr>
            </control>
          </mc:Choice>
        </mc:AlternateContent>
        <mc:AlternateContent xmlns:mc="http://schemas.openxmlformats.org/markup-compatibility/2006">
          <mc:Choice Requires="x14">
            <control shapeId="4112" r:id="rId9" name="Check Box 16">
              <controlPr locked="0" defaultSize="0" autoFill="0" autoLine="0" autoPict="0">
                <anchor moveWithCells="1">
                  <from>
                    <xdr:col>7</xdr:col>
                    <xdr:colOff>247650</xdr:colOff>
                    <xdr:row>0</xdr:row>
                    <xdr:rowOff>361950</xdr:rowOff>
                  </from>
                  <to>
                    <xdr:col>8</xdr:col>
                    <xdr:colOff>1247775</xdr:colOff>
                    <xdr:row>0</xdr:row>
                    <xdr:rowOff>581025</xdr:rowOff>
                  </to>
                </anchor>
              </controlPr>
            </control>
          </mc:Choice>
        </mc:AlternateContent>
        <mc:AlternateContent xmlns:mc="http://schemas.openxmlformats.org/markup-compatibility/2006">
          <mc:Choice Requires="x14">
            <control shapeId="4113" r:id="rId10" name="Check Box 17">
              <controlPr locked="0" defaultSize="0" autoFill="0" autoLine="0" autoPict="0">
                <anchor moveWithCells="1">
                  <from>
                    <xdr:col>9</xdr:col>
                    <xdr:colOff>38100</xdr:colOff>
                    <xdr:row>0</xdr:row>
                    <xdr:rowOff>180975</xdr:rowOff>
                  </from>
                  <to>
                    <xdr:col>9</xdr:col>
                    <xdr:colOff>1162050</xdr:colOff>
                    <xdr:row>0</xdr:row>
                    <xdr:rowOff>342900</xdr:rowOff>
                  </to>
                </anchor>
              </controlPr>
            </control>
          </mc:Choice>
        </mc:AlternateContent>
        <mc:AlternateContent xmlns:mc="http://schemas.openxmlformats.org/markup-compatibility/2006">
          <mc:Choice Requires="x14">
            <control shapeId="4114" r:id="rId11" name="Check Box 18">
              <controlPr locked="0" defaultSize="0" autoFill="0" autoLine="0" autoPict="0">
                <anchor moveWithCells="1">
                  <from>
                    <xdr:col>9</xdr:col>
                    <xdr:colOff>38100</xdr:colOff>
                    <xdr:row>0</xdr:row>
                    <xdr:rowOff>352425</xdr:rowOff>
                  </from>
                  <to>
                    <xdr:col>9</xdr:col>
                    <xdr:colOff>1409700</xdr:colOff>
                    <xdr:row>1</xdr:row>
                    <xdr:rowOff>0</xdr:rowOff>
                  </to>
                </anchor>
              </controlPr>
            </control>
          </mc:Choice>
        </mc:AlternateContent>
        <mc:AlternateContent xmlns:mc="http://schemas.openxmlformats.org/markup-compatibility/2006">
          <mc:Choice Requires="x14">
            <control shapeId="4115" r:id="rId12" name="Check Box 19">
              <controlPr locked="0" defaultSize="0" autoFill="0" autoLine="0" autoPict="0">
                <anchor moveWithCells="1">
                  <from>
                    <xdr:col>7</xdr:col>
                    <xdr:colOff>247650</xdr:colOff>
                    <xdr:row>0</xdr:row>
                    <xdr:rowOff>200025</xdr:rowOff>
                  </from>
                  <to>
                    <xdr:col>8</xdr:col>
                    <xdr:colOff>1457325</xdr:colOff>
                    <xdr:row>0</xdr:row>
                    <xdr:rowOff>342900</xdr:rowOff>
                  </to>
                </anchor>
              </controlPr>
            </control>
          </mc:Choice>
        </mc:AlternateContent>
        <mc:AlternateContent xmlns:mc="http://schemas.openxmlformats.org/markup-compatibility/2006">
          <mc:Choice Requires="x14">
            <control shapeId="4116" r:id="rId13" name="Check Box 20">
              <controlPr locked="0" defaultSize="0" autoFill="0" autoLine="0" autoPict="0">
                <anchor moveWithCells="1">
                  <from>
                    <xdr:col>7</xdr:col>
                    <xdr:colOff>247650</xdr:colOff>
                    <xdr:row>0</xdr:row>
                    <xdr:rowOff>361950</xdr:rowOff>
                  </from>
                  <to>
                    <xdr:col>8</xdr:col>
                    <xdr:colOff>1247775</xdr:colOff>
                    <xdr:row>0</xdr:row>
                    <xdr:rowOff>590550</xdr:rowOff>
                  </to>
                </anchor>
              </controlPr>
            </control>
          </mc:Choice>
        </mc:AlternateContent>
        <mc:AlternateContent xmlns:mc="http://schemas.openxmlformats.org/markup-compatibility/2006">
          <mc:Choice Requires="x14">
            <control shapeId="4117" r:id="rId14" name="Check Box 21">
              <controlPr locked="0" defaultSize="0" autoFill="0" autoLine="0" autoPict="0">
                <anchor moveWithCells="1">
                  <from>
                    <xdr:col>9</xdr:col>
                    <xdr:colOff>38100</xdr:colOff>
                    <xdr:row>0</xdr:row>
                    <xdr:rowOff>180975</xdr:rowOff>
                  </from>
                  <to>
                    <xdr:col>9</xdr:col>
                    <xdr:colOff>1162050</xdr:colOff>
                    <xdr:row>0</xdr:row>
                    <xdr:rowOff>352425</xdr:rowOff>
                  </to>
                </anchor>
              </controlPr>
            </control>
          </mc:Choice>
        </mc:AlternateContent>
        <mc:AlternateContent xmlns:mc="http://schemas.openxmlformats.org/markup-compatibility/2006">
          <mc:Choice Requires="x14">
            <control shapeId="4118" r:id="rId15" name="Check Box 22">
              <controlPr locked="0" defaultSize="0" autoFill="0" autoLine="0" autoPict="0">
                <anchor moveWithCells="1">
                  <from>
                    <xdr:col>9</xdr:col>
                    <xdr:colOff>38100</xdr:colOff>
                    <xdr:row>0</xdr:row>
                    <xdr:rowOff>352425</xdr:rowOff>
                  </from>
                  <to>
                    <xdr:col>9</xdr:col>
                    <xdr:colOff>1409700</xdr:colOff>
                    <xdr:row>0</xdr:row>
                    <xdr:rowOff>590550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operator="greaterThan" showDropDown="1" showInputMessage="1" showErrorMessage="1" xr:uid="{83942A34-77AF-40B4-9D5C-CAFE0047F867}">
          <x14:formula1>
            <xm:f>'Validation Lists'!$E$2:$E$501</xm:f>
          </x14:formula1>
          <xm:sqref>W8:W31</xm:sqref>
        </x14:dataValidation>
        <x14:dataValidation type="list" showInputMessage="1" showErrorMessage="1" xr:uid="{648D36D3-E768-4027-A4FA-02219AF5B45E}">
          <x14:formula1>
            <xm:f>'Validation Lists'!$G$2:$G$189</xm:f>
          </x14:formula1>
          <xm:sqref>U8:U31</xm:sqref>
        </x14:dataValidation>
        <x14:dataValidation type="list" allowBlank="1" showInputMessage="1" showErrorMessage="1" xr:uid="{DF6C3EB6-B635-4B92-9C30-8300C8094A44}">
          <x14:formula1>
            <xm:f>'Validation Lists'!$C$2:$C$6</xm:f>
          </x14:formula1>
          <xm:sqref>AA8:AA31</xm:sqref>
        </x14:dataValidation>
        <x14:dataValidation type="list" showInputMessage="1" showErrorMessage="1" xr:uid="{27616AC7-6FA3-49F7-9B2A-77E55F484781}">
          <x14:formula1>
            <xm:f>'Validation Lists'!$J$3:$J$50</xm:f>
          </x14:formula1>
          <xm:sqref>Y8:Y31</xm:sqref>
        </x14:dataValidation>
        <x14:dataValidation type="list" showInputMessage="1" showErrorMessage="1" xr:uid="{7EEAA46C-1E8F-449F-8412-94C67BD1049E}">
          <x14:formula1>
            <xm:f>'Validation Lists'!$P$2:$P$62</xm:f>
          </x14:formula1>
          <xm:sqref>N8:N31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F2A07-38A4-42A1-848C-6B39C440B4F0}">
  <sheetPr>
    <pageSetUpPr fitToPage="1"/>
  </sheetPr>
  <dimension ref="A1:AB37"/>
  <sheetViews>
    <sheetView showGridLines="0" view="pageBreakPreview" topLeftCell="E9" zoomScale="70" zoomScaleNormal="85" zoomScaleSheetLayoutView="70" workbookViewId="0">
      <selection activeCell="M15" sqref="M15"/>
    </sheetView>
  </sheetViews>
  <sheetFormatPr defaultRowHeight="12.75"/>
  <cols>
    <col min="1" max="1" width="4.5703125" customWidth="1"/>
    <col min="2" max="2" width="4.7109375" customWidth="1"/>
    <col min="3" max="6" width="5.7109375" customWidth="1"/>
    <col min="7" max="7" width="4.28515625" customWidth="1"/>
    <col min="8" max="8" width="3.85546875" customWidth="1"/>
    <col min="9" max="9" width="59.85546875" customWidth="1"/>
    <col min="10" max="10" width="35" customWidth="1"/>
    <col min="11" max="11" width="26.85546875" customWidth="1"/>
    <col min="12" max="12" width="25.42578125" customWidth="1"/>
    <col min="13" max="13" width="30.140625" customWidth="1"/>
    <col min="14" max="14" width="43.7109375" customWidth="1"/>
    <col min="15" max="15" width="14.28515625" customWidth="1"/>
    <col min="16" max="16" width="19.28515625" customWidth="1"/>
    <col min="17" max="19" width="3.7109375" customWidth="1"/>
    <col min="20" max="20" width="3.5703125" customWidth="1"/>
    <col min="21" max="21" width="21.28515625" customWidth="1"/>
    <col min="22" max="22" width="8.7109375" customWidth="1"/>
    <col min="23" max="23" width="7.5703125" customWidth="1"/>
    <col min="24" max="24" width="4.7109375" customWidth="1"/>
    <col min="25" max="25" width="14" customWidth="1"/>
    <col min="26" max="26" width="12.7109375" customWidth="1"/>
    <col min="27" max="27" width="10.7109375" customWidth="1"/>
  </cols>
  <sheetData>
    <row r="1" spans="1:28" ht="47.45" customHeight="1" thickTop="1" thickBot="1">
      <c r="A1" s="1"/>
      <c r="B1" s="392" t="s">
        <v>0</v>
      </c>
      <c r="C1" s="365" t="s">
        <v>2</v>
      </c>
      <c r="D1" s="365" t="s">
        <v>2</v>
      </c>
      <c r="E1" s="365" t="s">
        <v>2</v>
      </c>
      <c r="F1" s="365" t="s">
        <v>2</v>
      </c>
      <c r="G1" s="362" t="s">
        <v>3</v>
      </c>
      <c r="H1" s="363"/>
      <c r="I1" s="363"/>
      <c r="J1" s="363"/>
      <c r="K1" s="363"/>
      <c r="L1" s="364"/>
      <c r="M1" s="31"/>
      <c r="N1" s="40" t="s">
        <v>4</v>
      </c>
      <c r="O1" s="2"/>
      <c r="P1" s="2"/>
      <c r="Q1" s="2"/>
      <c r="R1" s="2"/>
      <c r="S1" s="2"/>
      <c r="T1" s="3"/>
      <c r="U1" s="75" t="s">
        <v>5</v>
      </c>
      <c r="V1" s="378" t="s">
        <v>1828</v>
      </c>
      <c r="W1" s="379"/>
      <c r="X1" s="379"/>
      <c r="Y1" s="379"/>
      <c r="Z1" s="379"/>
      <c r="AA1" s="380"/>
    </row>
    <row r="2" spans="1:28" ht="17.45" customHeight="1" thickBot="1">
      <c r="A2" s="4">
        <v>1</v>
      </c>
      <c r="B2" s="393"/>
      <c r="C2" s="365"/>
      <c r="D2" s="365"/>
      <c r="E2" s="365"/>
      <c r="F2" s="365"/>
      <c r="G2" s="366" t="s">
        <v>7</v>
      </c>
      <c r="H2" s="367"/>
      <c r="I2" s="367"/>
      <c r="J2" s="367"/>
      <c r="K2" s="367"/>
      <c r="L2" s="368"/>
      <c r="M2" s="5" t="s">
        <v>8</v>
      </c>
      <c r="N2" s="51"/>
      <c r="O2" s="48" t="s">
        <v>9</v>
      </c>
      <c r="P2" s="48"/>
      <c r="Q2" s="6"/>
      <c r="R2" s="6"/>
      <c r="S2" s="6"/>
      <c r="T2" s="7"/>
      <c r="U2" s="138" t="s">
        <v>10</v>
      </c>
      <c r="V2" s="374" t="s">
        <v>11</v>
      </c>
      <c r="W2" s="374"/>
      <c r="X2" s="374"/>
      <c r="Y2" s="374"/>
      <c r="Z2" s="374"/>
      <c r="AA2" s="375"/>
    </row>
    <row r="3" spans="1:28" ht="51" customHeight="1" thickBot="1">
      <c r="A3" s="8"/>
      <c r="B3" s="394"/>
      <c r="C3" s="365"/>
      <c r="D3" s="365"/>
      <c r="E3" s="365"/>
      <c r="F3" s="365"/>
      <c r="G3" s="369"/>
      <c r="H3" s="369"/>
      <c r="I3" s="369"/>
      <c r="J3" s="369"/>
      <c r="K3" s="369"/>
      <c r="L3" s="370"/>
      <c r="M3" s="9" t="s">
        <v>12</v>
      </c>
      <c r="O3" s="52"/>
      <c r="P3" s="52"/>
      <c r="Q3" s="52"/>
      <c r="R3" s="52"/>
      <c r="S3" s="52"/>
      <c r="T3" s="53"/>
      <c r="U3" s="138" t="s">
        <v>13</v>
      </c>
      <c r="V3" s="374" t="s">
        <v>14</v>
      </c>
      <c r="W3" s="374"/>
      <c r="X3" s="374"/>
      <c r="Y3" s="374"/>
      <c r="Z3" s="374"/>
      <c r="AA3" s="375"/>
    </row>
    <row r="4" spans="1:28" ht="90" customHeight="1" thickBot="1">
      <c r="A4" s="10"/>
      <c r="B4" s="395" t="s">
        <v>15</v>
      </c>
      <c r="C4" s="361" t="s">
        <v>157</v>
      </c>
      <c r="D4" s="361" t="s">
        <v>224</v>
      </c>
      <c r="E4" s="361" t="s">
        <v>224</v>
      </c>
      <c r="F4" s="361" t="s">
        <v>224</v>
      </c>
      <c r="G4" s="371"/>
      <c r="H4" s="372"/>
      <c r="I4" s="372"/>
      <c r="J4" s="372"/>
      <c r="K4" s="372"/>
      <c r="L4" s="373"/>
      <c r="M4" s="11" t="s">
        <v>16</v>
      </c>
      <c r="N4" s="54"/>
      <c r="O4" s="54"/>
      <c r="P4" s="54"/>
      <c r="Q4" s="54"/>
      <c r="R4" s="54"/>
      <c r="S4" s="54"/>
      <c r="T4" s="55"/>
      <c r="U4" s="56" t="s">
        <v>17</v>
      </c>
      <c r="V4" s="376" t="s">
        <v>18</v>
      </c>
      <c r="W4" s="376"/>
      <c r="X4" s="376"/>
      <c r="Y4" s="376"/>
      <c r="Z4" s="376"/>
      <c r="AA4" s="377"/>
      <c r="AB4" t="b">
        <v>1</v>
      </c>
    </row>
    <row r="5" spans="1:28" ht="27" customHeight="1" thickBot="1">
      <c r="A5" s="12">
        <v>2</v>
      </c>
      <c r="B5" s="396"/>
      <c r="C5" s="361"/>
      <c r="D5" s="361"/>
      <c r="E5" s="361"/>
      <c r="F5" s="361"/>
      <c r="G5" s="13"/>
      <c r="H5" s="14" t="s">
        <v>19</v>
      </c>
      <c r="I5" s="15" t="s">
        <v>20</v>
      </c>
      <c r="J5" s="16"/>
      <c r="K5" s="16"/>
      <c r="L5" s="16"/>
      <c r="M5" s="16"/>
      <c r="N5" s="16"/>
      <c r="O5" s="17"/>
      <c r="P5" s="49"/>
      <c r="Q5" s="18" t="s">
        <v>21</v>
      </c>
      <c r="R5" s="19"/>
      <c r="S5" s="20" t="s">
        <v>22</v>
      </c>
      <c r="T5" s="21"/>
      <c r="U5" s="381" t="s">
        <v>23</v>
      </c>
      <c r="V5" s="382"/>
      <c r="W5" s="382"/>
      <c r="X5" s="382"/>
      <c r="Y5" s="382"/>
      <c r="Z5" s="382"/>
      <c r="AA5" s="383"/>
    </row>
    <row r="6" spans="1:28" ht="85.15" customHeight="1" thickBot="1">
      <c r="A6" s="22">
        <v>3</v>
      </c>
      <c r="B6" s="139" t="s">
        <v>24</v>
      </c>
      <c r="C6" s="166" t="s">
        <v>2</v>
      </c>
      <c r="D6" s="166" t="s">
        <v>2</v>
      </c>
      <c r="E6" s="166" t="s">
        <v>2</v>
      </c>
      <c r="F6" s="166" t="s">
        <v>2</v>
      </c>
      <c r="G6" s="140" t="s">
        <v>25</v>
      </c>
      <c r="H6" s="57" t="s">
        <v>26</v>
      </c>
      <c r="I6" s="33" t="s">
        <v>27</v>
      </c>
      <c r="J6" s="23" t="s">
        <v>28</v>
      </c>
      <c r="K6" s="42" t="s">
        <v>29</v>
      </c>
      <c r="L6" s="41" t="s">
        <v>30</v>
      </c>
      <c r="M6" s="43" t="s">
        <v>31</v>
      </c>
      <c r="N6" s="43" t="s">
        <v>32</v>
      </c>
      <c r="O6" s="41" t="s">
        <v>33</v>
      </c>
      <c r="P6" s="41" t="s">
        <v>34</v>
      </c>
      <c r="Q6" s="44" t="s">
        <v>35</v>
      </c>
      <c r="R6" s="45" t="s">
        <v>36</v>
      </c>
      <c r="S6" s="44" t="s">
        <v>35</v>
      </c>
      <c r="T6" s="45" t="s">
        <v>37</v>
      </c>
      <c r="U6" s="46" t="s">
        <v>38</v>
      </c>
      <c r="V6" s="46" t="s">
        <v>39</v>
      </c>
      <c r="W6" s="46" t="s">
        <v>40</v>
      </c>
      <c r="X6" s="47" t="s">
        <v>41</v>
      </c>
      <c r="Y6" s="46" t="s">
        <v>42</v>
      </c>
      <c r="Z6" s="24" t="s">
        <v>43</v>
      </c>
      <c r="AA6" s="50" t="s">
        <v>44</v>
      </c>
    </row>
    <row r="7" spans="1:28" ht="52.9" customHeight="1" thickBot="1">
      <c r="A7" s="25">
        <v>4</v>
      </c>
      <c r="B7" s="141" t="s">
        <v>45</v>
      </c>
      <c r="C7" s="143">
        <v>3</v>
      </c>
      <c r="D7" s="143">
        <v>3</v>
      </c>
      <c r="E7" s="143">
        <v>2</v>
      </c>
      <c r="F7" s="143">
        <v>2</v>
      </c>
      <c r="G7" s="142"/>
      <c r="H7" s="32">
        <v>7</v>
      </c>
      <c r="I7" s="32">
        <v>8</v>
      </c>
      <c r="J7" s="26">
        <v>9</v>
      </c>
      <c r="K7" s="32" t="s">
        <v>46</v>
      </c>
      <c r="L7" s="26" t="s">
        <v>47</v>
      </c>
      <c r="M7" s="32" t="s">
        <v>48</v>
      </c>
      <c r="N7" s="32" t="s">
        <v>49</v>
      </c>
      <c r="O7" s="32" t="s">
        <v>50</v>
      </c>
      <c r="P7" s="137" t="s">
        <v>51</v>
      </c>
      <c r="Q7" s="32">
        <v>13</v>
      </c>
      <c r="R7" s="27">
        <v>14</v>
      </c>
      <c r="S7" s="32">
        <v>15</v>
      </c>
      <c r="T7" s="27">
        <v>16</v>
      </c>
      <c r="U7" s="328">
        <v>17</v>
      </c>
      <c r="V7" s="454"/>
      <c r="W7" s="32">
        <v>18</v>
      </c>
      <c r="X7" s="27">
        <v>19</v>
      </c>
      <c r="Y7" s="32">
        <v>20</v>
      </c>
      <c r="Z7" s="27">
        <v>21</v>
      </c>
      <c r="AA7" s="39">
        <v>22</v>
      </c>
    </row>
    <row r="8" spans="1:28" s="317" customFormat="1" ht="79.900000000000006" customHeight="1" thickBot="1">
      <c r="A8" s="455">
        <v>5</v>
      </c>
      <c r="B8" s="457" t="s">
        <v>52</v>
      </c>
      <c r="C8" s="305">
        <v>1</v>
      </c>
      <c r="D8" s="305"/>
      <c r="E8" s="305"/>
      <c r="F8" s="305"/>
      <c r="G8" s="306">
        <v>1</v>
      </c>
      <c r="H8" s="307">
        <v>3</v>
      </c>
      <c r="I8" s="255" t="s">
        <v>225</v>
      </c>
      <c r="J8" s="255" t="s">
        <v>226</v>
      </c>
      <c r="K8" s="255" t="s">
        <v>227</v>
      </c>
      <c r="L8" s="255" t="s">
        <v>227</v>
      </c>
      <c r="M8" s="308" t="s">
        <v>56</v>
      </c>
      <c r="N8" s="309" t="s">
        <v>57</v>
      </c>
      <c r="O8" s="310" t="s">
        <v>14</v>
      </c>
      <c r="P8" s="308"/>
      <c r="Q8" s="311">
        <v>0</v>
      </c>
      <c r="R8" s="312"/>
      <c r="S8" s="311">
        <v>1</v>
      </c>
      <c r="T8" s="312"/>
      <c r="U8" s="313" t="s">
        <v>58</v>
      </c>
      <c r="V8" s="314">
        <v>763</v>
      </c>
      <c r="W8" s="308">
        <v>24</v>
      </c>
      <c r="X8" s="312"/>
      <c r="Y8" s="315" t="s">
        <v>59</v>
      </c>
      <c r="Z8" s="312"/>
      <c r="AA8" s="316" t="s">
        <v>60</v>
      </c>
    </row>
    <row r="9" spans="1:28" s="317" customFormat="1" ht="40.15" customHeight="1" thickBot="1">
      <c r="A9" s="456"/>
      <c r="B9" s="458"/>
      <c r="C9" s="305"/>
      <c r="D9" s="305">
        <v>1</v>
      </c>
      <c r="E9" s="305"/>
      <c r="F9" s="305"/>
      <c r="G9" s="318">
        <v>2</v>
      </c>
      <c r="H9" s="307">
        <v>3</v>
      </c>
      <c r="I9" s="255" t="s">
        <v>1816</v>
      </c>
      <c r="J9" s="255" t="s">
        <v>228</v>
      </c>
      <c r="K9" s="255" t="s">
        <v>229</v>
      </c>
      <c r="L9" s="255" t="s">
        <v>229</v>
      </c>
      <c r="M9" s="308" t="s">
        <v>230</v>
      </c>
      <c r="N9" s="319" t="s">
        <v>65</v>
      </c>
      <c r="O9" s="310" t="s">
        <v>14</v>
      </c>
      <c r="P9" s="308"/>
      <c r="Q9" s="311">
        <v>0</v>
      </c>
      <c r="R9" s="320"/>
      <c r="S9" s="311">
        <v>1</v>
      </c>
      <c r="T9" s="320"/>
      <c r="U9" s="315" t="s">
        <v>58</v>
      </c>
      <c r="V9" s="314">
        <v>334</v>
      </c>
      <c r="W9" s="308">
        <v>20</v>
      </c>
      <c r="X9" s="320"/>
      <c r="Y9" s="315" t="s">
        <v>80</v>
      </c>
      <c r="Z9" s="320"/>
      <c r="AA9" s="316" t="s">
        <v>60</v>
      </c>
    </row>
    <row r="10" spans="1:28" s="317" customFormat="1" ht="40.15" customHeight="1" thickBot="1">
      <c r="A10" s="456"/>
      <c r="B10" s="458"/>
      <c r="C10" s="305"/>
      <c r="D10" s="305">
        <v>1</v>
      </c>
      <c r="E10" s="305"/>
      <c r="F10" s="305"/>
      <c r="G10" s="318">
        <v>3</v>
      </c>
      <c r="H10" s="307">
        <v>3</v>
      </c>
      <c r="I10" s="255" t="s">
        <v>231</v>
      </c>
      <c r="J10" s="255" t="s">
        <v>232</v>
      </c>
      <c r="K10" s="255" t="s">
        <v>233</v>
      </c>
      <c r="L10" s="255" t="s">
        <v>233</v>
      </c>
      <c r="M10" s="308" t="s">
        <v>56</v>
      </c>
      <c r="N10" s="309" t="s">
        <v>57</v>
      </c>
      <c r="O10" s="310" t="s">
        <v>14</v>
      </c>
      <c r="P10" s="308"/>
      <c r="Q10" s="311">
        <v>0</v>
      </c>
      <c r="R10" s="320"/>
      <c r="S10" s="311">
        <v>1</v>
      </c>
      <c r="T10" s="320"/>
      <c r="U10" s="315" t="s">
        <v>58</v>
      </c>
      <c r="V10" s="314">
        <v>7026</v>
      </c>
      <c r="W10" s="308">
        <v>24</v>
      </c>
      <c r="X10" s="320"/>
      <c r="Y10" s="315" t="s">
        <v>59</v>
      </c>
      <c r="Z10" s="320"/>
      <c r="AA10" s="316" t="s">
        <v>60</v>
      </c>
    </row>
    <row r="11" spans="1:28" s="317" customFormat="1" ht="40.15" customHeight="1" thickBot="1">
      <c r="A11" s="456"/>
      <c r="B11" s="458"/>
      <c r="C11" s="305"/>
      <c r="D11" s="305"/>
      <c r="E11" s="305">
        <v>1</v>
      </c>
      <c r="F11" s="305"/>
      <c r="G11" s="318">
        <v>4</v>
      </c>
      <c r="H11" s="307">
        <v>3</v>
      </c>
      <c r="I11" s="255" t="s">
        <v>1817</v>
      </c>
      <c r="J11" s="255" t="s">
        <v>228</v>
      </c>
      <c r="K11" s="255" t="s">
        <v>234</v>
      </c>
      <c r="L11" s="255" t="s">
        <v>234</v>
      </c>
      <c r="M11" s="308" t="s">
        <v>230</v>
      </c>
      <c r="N11" s="319" t="s">
        <v>65</v>
      </c>
      <c r="O11" s="310" t="s">
        <v>14</v>
      </c>
      <c r="P11" s="308"/>
      <c r="Q11" s="311">
        <v>0</v>
      </c>
      <c r="R11" s="320"/>
      <c r="S11" s="311">
        <v>1</v>
      </c>
      <c r="T11" s="320"/>
      <c r="U11" s="315" t="s">
        <v>58</v>
      </c>
      <c r="V11" s="314">
        <v>557</v>
      </c>
      <c r="W11" s="308">
        <v>20</v>
      </c>
      <c r="X11" s="320"/>
      <c r="Y11" s="315" t="s">
        <v>80</v>
      </c>
      <c r="Z11" s="320"/>
      <c r="AA11" s="316" t="s">
        <v>60</v>
      </c>
    </row>
    <row r="12" spans="1:28" s="317" customFormat="1" ht="40.15" customHeight="1" thickBot="1">
      <c r="A12" s="456"/>
      <c r="B12" s="458"/>
      <c r="C12" s="305"/>
      <c r="D12" s="305"/>
      <c r="E12" s="305">
        <v>1</v>
      </c>
      <c r="F12" s="305"/>
      <c r="G12" s="306">
        <v>5</v>
      </c>
      <c r="H12" s="307">
        <v>3</v>
      </c>
      <c r="I12" s="255" t="s">
        <v>235</v>
      </c>
      <c r="J12" s="255" t="s">
        <v>232</v>
      </c>
      <c r="K12" s="255" t="s">
        <v>236</v>
      </c>
      <c r="L12" s="255" t="s">
        <v>236</v>
      </c>
      <c r="M12" s="308" t="s">
        <v>56</v>
      </c>
      <c r="N12" s="309" t="s">
        <v>57</v>
      </c>
      <c r="O12" s="310" t="s">
        <v>14</v>
      </c>
      <c r="P12" s="308"/>
      <c r="Q12" s="311">
        <v>0</v>
      </c>
      <c r="R12" s="320"/>
      <c r="S12" s="311">
        <v>1</v>
      </c>
      <c r="T12" s="320"/>
      <c r="U12" s="315" t="s">
        <v>58</v>
      </c>
      <c r="V12" s="314">
        <v>9398</v>
      </c>
      <c r="W12" s="308">
        <v>24</v>
      </c>
      <c r="X12" s="320"/>
      <c r="Y12" s="315" t="s">
        <v>59</v>
      </c>
      <c r="Z12" s="320"/>
      <c r="AA12" s="316" t="s">
        <v>60</v>
      </c>
    </row>
    <row r="13" spans="1:28" s="317" customFormat="1" ht="40.15" customHeight="1" thickBot="1">
      <c r="A13" s="456"/>
      <c r="B13" s="458"/>
      <c r="C13" s="305"/>
      <c r="D13" s="305"/>
      <c r="E13" s="305"/>
      <c r="F13" s="305">
        <v>1</v>
      </c>
      <c r="G13" s="318">
        <v>6</v>
      </c>
      <c r="H13" s="307">
        <v>3</v>
      </c>
      <c r="I13" s="255" t="s">
        <v>1818</v>
      </c>
      <c r="J13" s="255" t="s">
        <v>228</v>
      </c>
      <c r="K13" s="255" t="s">
        <v>237</v>
      </c>
      <c r="L13" s="255" t="s">
        <v>237</v>
      </c>
      <c r="M13" s="308" t="s">
        <v>230</v>
      </c>
      <c r="N13" s="309" t="s">
        <v>65</v>
      </c>
      <c r="O13" s="310" t="s">
        <v>14</v>
      </c>
      <c r="P13" s="308"/>
      <c r="Q13" s="311">
        <v>0</v>
      </c>
      <c r="R13" s="320"/>
      <c r="S13" s="311">
        <v>1</v>
      </c>
      <c r="T13" s="320"/>
      <c r="U13" s="315" t="s">
        <v>58</v>
      </c>
      <c r="V13" s="314">
        <v>829</v>
      </c>
      <c r="W13" s="308">
        <v>20</v>
      </c>
      <c r="X13" s="320"/>
      <c r="Y13" s="315" t="s">
        <v>80</v>
      </c>
      <c r="Z13" s="320"/>
      <c r="AA13" s="316" t="s">
        <v>60</v>
      </c>
    </row>
    <row r="14" spans="1:28" s="317" customFormat="1" ht="40.15" customHeight="1" thickBot="1">
      <c r="A14" s="456"/>
      <c r="B14" s="458"/>
      <c r="C14" s="305"/>
      <c r="D14" s="305"/>
      <c r="E14" s="305"/>
      <c r="F14" s="305">
        <v>1</v>
      </c>
      <c r="G14" s="318">
        <v>7</v>
      </c>
      <c r="H14" s="307">
        <v>3</v>
      </c>
      <c r="I14" s="255" t="s">
        <v>238</v>
      </c>
      <c r="J14" s="255" t="s">
        <v>232</v>
      </c>
      <c r="K14" s="255" t="s">
        <v>239</v>
      </c>
      <c r="L14" s="255" t="s">
        <v>239</v>
      </c>
      <c r="M14" s="308" t="s">
        <v>56</v>
      </c>
      <c r="N14" s="309" t="s">
        <v>57</v>
      </c>
      <c r="O14" s="310" t="s">
        <v>14</v>
      </c>
      <c r="P14" s="308"/>
      <c r="Q14" s="311">
        <v>0</v>
      </c>
      <c r="R14" s="320"/>
      <c r="S14" s="311">
        <v>1</v>
      </c>
      <c r="T14" s="320"/>
      <c r="U14" s="315" t="s">
        <v>58</v>
      </c>
      <c r="V14" s="314">
        <v>12872</v>
      </c>
      <c r="W14" s="308">
        <v>24</v>
      </c>
      <c r="X14" s="320"/>
      <c r="Y14" s="315" t="s">
        <v>59</v>
      </c>
      <c r="Z14" s="320"/>
      <c r="AA14" s="316" t="s">
        <v>60</v>
      </c>
    </row>
    <row r="15" spans="1:28" s="317" customFormat="1" ht="36" customHeight="1" thickBot="1">
      <c r="A15" s="456"/>
      <c r="B15" s="458"/>
      <c r="C15" s="305"/>
      <c r="D15" s="305"/>
      <c r="E15" s="305"/>
      <c r="F15" s="305"/>
      <c r="G15" s="318">
        <v>8</v>
      </c>
      <c r="H15" s="311">
        <v>2</v>
      </c>
      <c r="I15" s="255" t="s">
        <v>1819</v>
      </c>
      <c r="J15" s="255" t="s">
        <v>228</v>
      </c>
      <c r="K15" s="255" t="s">
        <v>241</v>
      </c>
      <c r="L15" s="255" t="s">
        <v>241</v>
      </c>
      <c r="M15" s="308" t="s">
        <v>230</v>
      </c>
      <c r="N15" s="309" t="s">
        <v>65</v>
      </c>
      <c r="O15" s="308" t="s">
        <v>14</v>
      </c>
      <c r="P15" s="308"/>
      <c r="Q15" s="310">
        <v>0</v>
      </c>
      <c r="R15" s="320"/>
      <c r="S15" s="311">
        <v>1</v>
      </c>
      <c r="T15" s="320"/>
      <c r="U15" s="315" t="s">
        <v>58</v>
      </c>
      <c r="V15" s="314">
        <v>1132</v>
      </c>
      <c r="W15" s="308">
        <v>20</v>
      </c>
      <c r="X15" s="320"/>
      <c r="Y15" s="315" t="s">
        <v>80</v>
      </c>
      <c r="Z15" s="320"/>
      <c r="AA15" s="316" t="s">
        <v>60</v>
      </c>
    </row>
    <row r="16" spans="1:28" s="317" customFormat="1" ht="33.6" customHeight="1" thickBot="1">
      <c r="A16" s="456"/>
      <c r="B16" s="458"/>
      <c r="C16" s="305"/>
      <c r="D16" s="305"/>
      <c r="E16" s="305"/>
      <c r="F16" s="305"/>
      <c r="G16" s="306">
        <v>9</v>
      </c>
      <c r="H16" s="311">
        <v>2</v>
      </c>
      <c r="I16" s="255" t="s">
        <v>242</v>
      </c>
      <c r="J16" s="255" t="s">
        <v>232</v>
      </c>
      <c r="K16" s="255" t="s">
        <v>243</v>
      </c>
      <c r="L16" s="255" t="s">
        <v>243</v>
      </c>
      <c r="M16" s="308" t="s">
        <v>56</v>
      </c>
      <c r="N16" s="309" t="s">
        <v>57</v>
      </c>
      <c r="O16" s="310" t="s">
        <v>14</v>
      </c>
      <c r="P16" s="308"/>
      <c r="Q16" s="310">
        <v>0</v>
      </c>
      <c r="R16" s="320"/>
      <c r="S16" s="311">
        <v>1</v>
      </c>
      <c r="T16" s="320"/>
      <c r="U16" s="315" t="s">
        <v>58</v>
      </c>
      <c r="V16" s="314">
        <v>22165</v>
      </c>
      <c r="W16" s="308">
        <v>24</v>
      </c>
      <c r="X16" s="320"/>
      <c r="Y16" s="315" t="s">
        <v>59</v>
      </c>
      <c r="Z16" s="320"/>
      <c r="AA16" s="316" t="s">
        <v>60</v>
      </c>
    </row>
    <row r="17" spans="1:27" s="317" customFormat="1" ht="30" customHeight="1" thickBot="1">
      <c r="A17" s="456"/>
      <c r="B17" s="458"/>
      <c r="C17" s="321"/>
      <c r="D17" s="321"/>
      <c r="E17" s="321"/>
      <c r="F17" s="321"/>
      <c r="G17" s="318">
        <v>10</v>
      </c>
      <c r="H17" s="311">
        <v>2</v>
      </c>
      <c r="I17" s="255" t="s">
        <v>244</v>
      </c>
      <c r="J17" s="255" t="s">
        <v>245</v>
      </c>
      <c r="K17" s="255" t="s">
        <v>246</v>
      </c>
      <c r="L17" s="255" t="s">
        <v>246</v>
      </c>
      <c r="M17" s="308" t="s">
        <v>247</v>
      </c>
      <c r="N17" s="309" t="s">
        <v>65</v>
      </c>
      <c r="O17" s="308" t="s">
        <v>14</v>
      </c>
      <c r="P17" s="308"/>
      <c r="Q17" s="310">
        <v>0</v>
      </c>
      <c r="R17" s="320"/>
      <c r="S17" s="310">
        <v>1</v>
      </c>
      <c r="T17" s="320"/>
      <c r="U17" s="315" t="s">
        <v>58</v>
      </c>
      <c r="V17" s="314">
        <v>244</v>
      </c>
      <c r="W17" s="308">
        <v>20</v>
      </c>
      <c r="X17" s="320"/>
      <c r="Y17" s="315" t="s">
        <v>66</v>
      </c>
      <c r="Z17" s="322"/>
      <c r="AA17" s="316" t="s">
        <v>60</v>
      </c>
    </row>
    <row r="18" spans="1:27" s="317" customFormat="1" ht="30" customHeight="1" thickBot="1">
      <c r="A18" s="456"/>
      <c r="B18" s="458"/>
      <c r="C18" s="321"/>
      <c r="D18" s="321"/>
      <c r="E18" s="321"/>
      <c r="F18" s="321"/>
      <c r="G18" s="318">
        <v>11</v>
      </c>
      <c r="H18" s="311">
        <v>2</v>
      </c>
      <c r="I18" s="255" t="s">
        <v>1820</v>
      </c>
      <c r="J18" s="255" t="s">
        <v>1812</v>
      </c>
      <c r="K18" s="255" t="s">
        <v>1813</v>
      </c>
      <c r="L18" s="255" t="s">
        <v>1813</v>
      </c>
      <c r="M18" s="308" t="s">
        <v>230</v>
      </c>
      <c r="N18" s="309" t="s">
        <v>65</v>
      </c>
      <c r="O18" s="308" t="s">
        <v>14</v>
      </c>
      <c r="P18" s="308"/>
      <c r="Q18" s="310">
        <v>0</v>
      </c>
      <c r="R18" s="320"/>
      <c r="S18" s="310">
        <v>1</v>
      </c>
      <c r="T18" s="320"/>
      <c r="U18" s="315" t="s">
        <v>58</v>
      </c>
      <c r="V18" s="314">
        <v>167</v>
      </c>
      <c r="W18" s="308">
        <v>20</v>
      </c>
      <c r="X18" s="320"/>
      <c r="Y18" s="315" t="s">
        <v>80</v>
      </c>
      <c r="Z18" s="322"/>
      <c r="AA18" s="316" t="s">
        <v>60</v>
      </c>
    </row>
    <row r="19" spans="1:27" s="317" customFormat="1" ht="30" customHeight="1" thickBot="1">
      <c r="A19" s="456"/>
      <c r="B19" s="458"/>
      <c r="C19" s="321"/>
      <c r="D19" s="321"/>
      <c r="E19" s="321"/>
      <c r="F19" s="321"/>
      <c r="G19" s="318">
        <v>12</v>
      </c>
      <c r="H19" s="311">
        <v>2</v>
      </c>
      <c r="I19" s="255" t="s">
        <v>249</v>
      </c>
      <c r="J19" s="255" t="s">
        <v>250</v>
      </c>
      <c r="K19" s="255" t="s">
        <v>251</v>
      </c>
      <c r="L19" s="255" t="s">
        <v>251</v>
      </c>
      <c r="M19" s="308" t="s">
        <v>56</v>
      </c>
      <c r="N19" s="309" t="s">
        <v>57</v>
      </c>
      <c r="O19" s="310" t="s">
        <v>14</v>
      </c>
      <c r="P19" s="308"/>
      <c r="Q19" s="310">
        <v>0</v>
      </c>
      <c r="R19" s="320"/>
      <c r="S19" s="311">
        <v>1</v>
      </c>
      <c r="T19" s="320"/>
      <c r="U19" s="315" t="s">
        <v>58</v>
      </c>
      <c r="V19" s="314">
        <v>4473</v>
      </c>
      <c r="W19" s="308">
        <v>24</v>
      </c>
      <c r="X19" s="320"/>
      <c r="Y19" s="315" t="s">
        <v>59</v>
      </c>
      <c r="Z19" s="322"/>
      <c r="AA19" s="316" t="s">
        <v>60</v>
      </c>
    </row>
    <row r="20" spans="1:27" s="317" customFormat="1" ht="30" customHeight="1" thickBot="1">
      <c r="A20" s="456"/>
      <c r="B20" s="458"/>
      <c r="C20" s="321"/>
      <c r="D20" s="321"/>
      <c r="E20" s="321"/>
      <c r="F20" s="321"/>
      <c r="G20" s="318">
        <v>13</v>
      </c>
      <c r="H20" s="311">
        <v>2</v>
      </c>
      <c r="I20" s="255" t="s">
        <v>252</v>
      </c>
      <c r="J20" s="255" t="s">
        <v>253</v>
      </c>
      <c r="K20" s="255" t="s">
        <v>254</v>
      </c>
      <c r="L20" s="255" t="s">
        <v>254</v>
      </c>
      <c r="M20" s="308" t="s">
        <v>247</v>
      </c>
      <c r="N20" s="309" t="s">
        <v>65</v>
      </c>
      <c r="O20" s="308" t="s">
        <v>14</v>
      </c>
      <c r="P20" s="308"/>
      <c r="Q20" s="310">
        <v>0</v>
      </c>
      <c r="R20" s="320"/>
      <c r="S20" s="310">
        <v>1</v>
      </c>
      <c r="T20" s="320"/>
      <c r="U20" s="315" t="s">
        <v>58</v>
      </c>
      <c r="V20" s="314">
        <v>195</v>
      </c>
      <c r="W20" s="308">
        <v>20</v>
      </c>
      <c r="X20" s="320"/>
      <c r="Y20" s="315" t="s">
        <v>66</v>
      </c>
      <c r="Z20" s="322"/>
      <c r="AA20" s="316" t="s">
        <v>60</v>
      </c>
    </row>
    <row r="21" spans="1:27" s="317" customFormat="1" ht="30" customHeight="1" thickBot="1">
      <c r="A21" s="456"/>
      <c r="B21" s="458"/>
      <c r="C21" s="321"/>
      <c r="D21" s="305"/>
      <c r="E21" s="321"/>
      <c r="F21" s="321"/>
      <c r="G21" s="318">
        <v>14</v>
      </c>
      <c r="H21" s="307">
        <v>2</v>
      </c>
      <c r="I21" s="255" t="s">
        <v>1821</v>
      </c>
      <c r="J21" s="255" t="s">
        <v>256</v>
      </c>
      <c r="K21" s="255" t="s">
        <v>257</v>
      </c>
      <c r="L21" s="255" t="s">
        <v>257</v>
      </c>
      <c r="M21" s="308" t="s">
        <v>230</v>
      </c>
      <c r="N21" s="309" t="s">
        <v>65</v>
      </c>
      <c r="O21" s="308" t="s">
        <v>14</v>
      </c>
      <c r="P21" s="308"/>
      <c r="Q21" s="310">
        <v>0</v>
      </c>
      <c r="R21" s="320"/>
      <c r="S21" s="310">
        <v>1</v>
      </c>
      <c r="T21" s="320"/>
      <c r="U21" s="315" t="s">
        <v>58</v>
      </c>
      <c r="V21" s="314">
        <v>130</v>
      </c>
      <c r="W21" s="308">
        <v>20</v>
      </c>
      <c r="X21" s="322"/>
      <c r="Y21" s="315" t="s">
        <v>80</v>
      </c>
      <c r="Z21" s="322"/>
      <c r="AA21" s="316" t="s">
        <v>60</v>
      </c>
    </row>
    <row r="22" spans="1:27" s="317" customFormat="1" ht="30" customHeight="1" thickBot="1">
      <c r="A22" s="456"/>
      <c r="B22" s="458"/>
      <c r="C22" s="321"/>
      <c r="D22" s="305"/>
      <c r="E22" s="321"/>
      <c r="F22" s="321"/>
      <c r="G22" s="318">
        <v>15</v>
      </c>
      <c r="H22" s="307">
        <v>2</v>
      </c>
      <c r="I22" s="255" t="s">
        <v>258</v>
      </c>
      <c r="J22" s="255" t="s">
        <v>259</v>
      </c>
      <c r="K22" s="255" t="s">
        <v>260</v>
      </c>
      <c r="L22" s="255" t="s">
        <v>260</v>
      </c>
      <c r="M22" s="308" t="s">
        <v>56</v>
      </c>
      <c r="N22" s="309" t="s">
        <v>57</v>
      </c>
      <c r="O22" s="308" t="s">
        <v>14</v>
      </c>
      <c r="P22" s="308"/>
      <c r="Q22" s="310">
        <v>0</v>
      </c>
      <c r="R22" s="320"/>
      <c r="S22" s="311">
        <v>1</v>
      </c>
      <c r="T22" s="320"/>
      <c r="U22" s="315" t="s">
        <v>58</v>
      </c>
      <c r="V22" s="323">
        <v>2456</v>
      </c>
      <c r="W22" s="308">
        <v>24</v>
      </c>
      <c r="X22" s="322"/>
      <c r="Y22" s="315" t="s">
        <v>59</v>
      </c>
      <c r="Z22" s="322"/>
      <c r="AA22" s="316" t="s">
        <v>60</v>
      </c>
    </row>
    <row r="23" spans="1:27" s="61" customFormat="1" ht="30" customHeight="1" thickBot="1">
      <c r="A23" s="456"/>
      <c r="B23" s="458"/>
      <c r="C23" s="68"/>
      <c r="D23" s="68"/>
      <c r="E23" s="68"/>
      <c r="F23" s="68"/>
      <c r="G23" s="77">
        <v>16</v>
      </c>
      <c r="H23" s="58"/>
      <c r="I23" s="73"/>
      <c r="J23" s="71"/>
      <c r="K23" s="71"/>
      <c r="L23" s="71"/>
      <c r="M23" s="59"/>
      <c r="N23" s="144"/>
      <c r="O23" s="59"/>
      <c r="P23" s="136"/>
      <c r="Q23" s="65"/>
      <c r="R23" s="78"/>
      <c r="S23" s="65"/>
      <c r="T23" s="78"/>
      <c r="U23" s="74"/>
      <c r="V23" s="60"/>
      <c r="W23" s="59"/>
      <c r="X23" s="62"/>
      <c r="Y23" s="74"/>
      <c r="Z23" s="62"/>
      <c r="AA23" s="64"/>
    </row>
    <row r="24" spans="1:27" s="61" customFormat="1" ht="25.9" customHeight="1" thickBot="1">
      <c r="A24" s="456"/>
      <c r="B24" s="458"/>
      <c r="C24" s="68"/>
      <c r="D24" s="68"/>
      <c r="E24" s="68"/>
      <c r="F24" s="68"/>
      <c r="G24" s="77">
        <v>17</v>
      </c>
      <c r="H24" s="58"/>
      <c r="I24" s="73"/>
      <c r="J24" s="71"/>
      <c r="K24" s="71"/>
      <c r="L24" s="71"/>
      <c r="M24" s="59"/>
      <c r="N24" s="144"/>
      <c r="O24" s="59"/>
      <c r="P24" s="65"/>
      <c r="Q24" s="65"/>
      <c r="R24" s="78"/>
      <c r="S24" s="65"/>
      <c r="T24" s="78"/>
      <c r="U24" s="74"/>
      <c r="V24" s="60"/>
      <c r="W24" s="59"/>
      <c r="X24" s="62"/>
      <c r="Y24" s="74"/>
      <c r="Z24" s="62"/>
      <c r="AA24" s="64"/>
    </row>
    <row r="25" spans="1:27" s="61" customFormat="1" ht="25.9" customHeight="1" thickBot="1">
      <c r="A25" s="456"/>
      <c r="B25" s="458"/>
      <c r="C25" s="68"/>
      <c r="D25" s="68"/>
      <c r="E25" s="68"/>
      <c r="F25" s="68"/>
      <c r="G25" s="77">
        <v>18</v>
      </c>
      <c r="H25" s="58"/>
      <c r="I25" s="73"/>
      <c r="J25" s="71"/>
      <c r="K25" s="71"/>
      <c r="L25" s="71"/>
      <c r="M25" s="59"/>
      <c r="N25" s="144"/>
      <c r="O25" s="59"/>
      <c r="P25" s="136"/>
      <c r="Q25" s="65"/>
      <c r="R25" s="78"/>
      <c r="S25" s="65"/>
      <c r="T25" s="78"/>
      <c r="U25" s="74"/>
      <c r="V25" s="60"/>
      <c r="W25" s="59"/>
      <c r="X25" s="62"/>
      <c r="Y25" s="74"/>
      <c r="Z25" s="62"/>
      <c r="AA25" s="64"/>
    </row>
    <row r="26" spans="1:27" s="61" customFormat="1" ht="25.9" customHeight="1" thickBot="1">
      <c r="A26" s="456"/>
      <c r="B26" s="458"/>
      <c r="C26" s="68"/>
      <c r="D26" s="68"/>
      <c r="E26" s="76"/>
      <c r="F26" s="68"/>
      <c r="G26" s="77">
        <v>19</v>
      </c>
      <c r="H26" s="58"/>
      <c r="I26" s="73"/>
      <c r="J26" s="71"/>
      <c r="K26" s="71"/>
      <c r="L26" s="71"/>
      <c r="M26" s="59"/>
      <c r="N26" s="144"/>
      <c r="O26" s="59"/>
      <c r="P26" s="136"/>
      <c r="Q26" s="65"/>
      <c r="R26" s="78"/>
      <c r="S26" s="65"/>
      <c r="T26" s="78"/>
      <c r="U26" s="74"/>
      <c r="V26" s="60"/>
      <c r="W26" s="79"/>
      <c r="X26" s="62"/>
      <c r="Y26" s="74"/>
      <c r="Z26" s="62"/>
      <c r="AA26" s="64"/>
    </row>
    <row r="27" spans="1:27" s="61" customFormat="1" ht="25.9" customHeight="1">
      <c r="A27" s="456"/>
      <c r="B27" s="458"/>
      <c r="C27" s="68"/>
      <c r="D27" s="68"/>
      <c r="E27" s="76"/>
      <c r="F27" s="68"/>
      <c r="G27" s="77">
        <v>20</v>
      </c>
      <c r="H27" s="58"/>
      <c r="I27" s="73"/>
      <c r="J27" s="71"/>
      <c r="K27" s="71"/>
      <c r="L27" s="71"/>
      <c r="M27" s="59"/>
      <c r="N27" s="144"/>
      <c r="O27" s="59"/>
      <c r="P27" s="136"/>
      <c r="Q27" s="65"/>
      <c r="R27" s="78"/>
      <c r="S27" s="65"/>
      <c r="T27" s="78"/>
      <c r="U27" s="74"/>
      <c r="V27" s="60"/>
      <c r="W27" s="79"/>
      <c r="X27" s="62"/>
      <c r="Y27" s="74"/>
      <c r="Z27" s="62"/>
      <c r="AA27" s="64"/>
    </row>
    <row r="28" spans="1:27" s="61" customFormat="1" ht="25.9" customHeight="1">
      <c r="A28" s="456"/>
      <c r="B28" s="458"/>
      <c r="C28" s="68"/>
      <c r="D28" s="68"/>
      <c r="E28" s="68"/>
      <c r="F28" s="68"/>
      <c r="G28" s="77">
        <v>21</v>
      </c>
      <c r="H28" s="58"/>
      <c r="I28" s="73"/>
      <c r="J28" s="71"/>
      <c r="K28" s="71"/>
      <c r="L28" s="71"/>
      <c r="M28" s="59"/>
      <c r="N28" s="144"/>
      <c r="O28" s="59"/>
      <c r="P28" s="136"/>
      <c r="Q28" s="59"/>
      <c r="R28" s="62"/>
      <c r="S28" s="58"/>
      <c r="T28" s="62"/>
      <c r="U28" s="74"/>
      <c r="V28" s="60"/>
      <c r="W28" s="79"/>
      <c r="X28" s="62"/>
      <c r="Y28" s="145"/>
      <c r="Z28" s="62"/>
      <c r="AA28" s="69"/>
    </row>
    <row r="29" spans="1:27" s="61" customFormat="1" ht="25.9" customHeight="1">
      <c r="A29" s="456"/>
      <c r="B29" s="458"/>
      <c r="C29" s="68"/>
      <c r="D29" s="68"/>
      <c r="E29" s="68"/>
      <c r="F29" s="68"/>
      <c r="G29" s="77">
        <v>22</v>
      </c>
      <c r="H29" s="58"/>
      <c r="I29" s="73"/>
      <c r="J29" s="71"/>
      <c r="K29" s="71"/>
      <c r="L29" s="71"/>
      <c r="M29" s="59"/>
      <c r="N29" s="144"/>
      <c r="O29" s="59"/>
      <c r="P29" s="136"/>
      <c r="Q29" s="59"/>
      <c r="R29" s="62"/>
      <c r="S29" s="58"/>
      <c r="T29" s="62"/>
      <c r="U29" s="74"/>
      <c r="V29" s="60"/>
      <c r="W29" s="79"/>
      <c r="X29" s="62"/>
      <c r="Y29" s="74"/>
      <c r="Z29" s="62"/>
      <c r="AA29" s="69"/>
    </row>
    <row r="30" spans="1:27" s="61" customFormat="1" ht="25.9" customHeight="1">
      <c r="A30" s="456"/>
      <c r="B30" s="458"/>
      <c r="C30" s="68"/>
      <c r="D30" s="68"/>
      <c r="E30" s="68"/>
      <c r="F30" s="68"/>
      <c r="G30" s="77">
        <v>23</v>
      </c>
      <c r="H30" s="58"/>
      <c r="I30" s="73"/>
      <c r="J30" s="71"/>
      <c r="K30" s="71"/>
      <c r="L30" s="71"/>
      <c r="M30" s="59"/>
      <c r="N30" s="144"/>
      <c r="O30" s="59"/>
      <c r="P30" s="136"/>
      <c r="Q30" s="59"/>
      <c r="R30" s="62"/>
      <c r="S30" s="58"/>
      <c r="T30" s="62"/>
      <c r="U30" s="74"/>
      <c r="V30" s="60"/>
      <c r="W30" s="79"/>
      <c r="X30" s="62"/>
      <c r="Y30" s="74"/>
      <c r="Z30" s="62"/>
      <c r="AA30" s="69"/>
    </row>
    <row r="31" spans="1:27" s="61" customFormat="1" ht="25.9" customHeight="1" thickBot="1">
      <c r="A31" s="456"/>
      <c r="B31" s="458"/>
      <c r="C31" s="68"/>
      <c r="D31" s="68"/>
      <c r="E31" s="68"/>
      <c r="F31" s="76"/>
      <c r="G31" s="77">
        <v>24</v>
      </c>
      <c r="H31" s="58"/>
      <c r="I31" s="73"/>
      <c r="J31" s="71"/>
      <c r="K31" s="71"/>
      <c r="L31" s="71"/>
      <c r="M31" s="59"/>
      <c r="N31" s="144"/>
      <c r="O31" s="59"/>
      <c r="P31" s="136"/>
      <c r="Q31" s="59"/>
      <c r="R31" s="62"/>
      <c r="S31" s="58"/>
      <c r="T31" s="62"/>
      <c r="U31" s="74"/>
      <c r="V31" s="60"/>
      <c r="W31" s="79"/>
      <c r="X31" s="62"/>
      <c r="Y31" s="145"/>
      <c r="Z31" s="62"/>
      <c r="AA31" s="69"/>
    </row>
    <row r="32" spans="1:27" ht="35.450000000000003" customHeight="1">
      <c r="A32" s="385">
        <v>6</v>
      </c>
      <c r="B32" s="389" t="s">
        <v>137</v>
      </c>
      <c r="C32" s="335" t="s">
        <v>261</v>
      </c>
      <c r="D32" s="133"/>
      <c r="E32" s="133"/>
      <c r="F32" s="338"/>
      <c r="G32" s="341"/>
      <c r="H32" s="344"/>
      <c r="I32" s="72" t="s">
        <v>1825</v>
      </c>
      <c r="J32" s="214"/>
      <c r="K32" s="439" t="s">
        <v>139</v>
      </c>
      <c r="L32" s="439"/>
      <c r="M32" s="439"/>
      <c r="N32" s="439"/>
      <c r="O32" s="440"/>
      <c r="P32" s="441" t="s">
        <v>140</v>
      </c>
      <c r="Q32" s="442"/>
      <c r="R32" s="442"/>
      <c r="S32" s="442"/>
      <c r="T32" s="442"/>
      <c r="U32" s="442"/>
      <c r="V32" s="442"/>
      <c r="W32" s="204" t="s">
        <v>141</v>
      </c>
      <c r="X32" s="205"/>
      <c r="Y32" s="446" t="s">
        <v>1801</v>
      </c>
      <c r="Z32" s="446"/>
      <c r="AA32" s="447"/>
    </row>
    <row r="33" spans="1:27" ht="17.100000000000001" customHeight="1">
      <c r="A33" s="386"/>
      <c r="B33" s="390"/>
      <c r="C33" s="336"/>
      <c r="D33" s="134"/>
      <c r="E33" s="134"/>
      <c r="F33" s="339"/>
      <c r="G33" s="342"/>
      <c r="H33" s="345"/>
      <c r="I33" s="28" t="s">
        <v>142</v>
      </c>
      <c r="J33" s="66"/>
      <c r="K33" s="448" t="s">
        <v>143</v>
      </c>
      <c r="L33" s="448"/>
      <c r="M33" s="448"/>
      <c r="N33" s="448"/>
      <c r="O33" s="449"/>
      <c r="P33" s="441"/>
      <c r="Q33" s="443"/>
      <c r="R33" s="443"/>
      <c r="S33" s="443"/>
      <c r="T33" s="443"/>
      <c r="U33" s="443"/>
      <c r="V33" s="443"/>
      <c r="W33" s="206" t="s">
        <v>144</v>
      </c>
      <c r="X33" s="207"/>
      <c r="Y33" s="431" t="s">
        <v>1830</v>
      </c>
      <c r="Z33" s="431"/>
      <c r="AA33" s="432"/>
    </row>
    <row r="34" spans="1:27" ht="17.100000000000001" customHeight="1" thickBot="1">
      <c r="A34" s="386"/>
      <c r="B34" s="390"/>
      <c r="C34" s="336"/>
      <c r="D34" s="134"/>
      <c r="E34" s="134"/>
      <c r="F34" s="339"/>
      <c r="G34" s="342"/>
      <c r="H34" s="345"/>
      <c r="I34" s="29" t="s">
        <v>145</v>
      </c>
      <c r="J34" s="67"/>
      <c r="K34" s="448"/>
      <c r="L34" s="448"/>
      <c r="M34" s="448"/>
      <c r="N34" s="448"/>
      <c r="O34" s="449"/>
      <c r="P34" s="441"/>
      <c r="Q34" s="443"/>
      <c r="R34" s="443"/>
      <c r="S34" s="443"/>
      <c r="T34" s="443"/>
      <c r="U34" s="443"/>
      <c r="V34" s="443"/>
      <c r="W34" s="206" t="s">
        <v>146</v>
      </c>
      <c r="X34" s="207"/>
      <c r="Y34" s="431" t="s">
        <v>147</v>
      </c>
      <c r="Z34" s="431"/>
      <c r="AA34" s="432"/>
    </row>
    <row r="35" spans="1:27" ht="17.100000000000001" customHeight="1">
      <c r="A35" s="386"/>
      <c r="B35" s="390"/>
      <c r="C35" s="336"/>
      <c r="D35" s="134"/>
      <c r="E35" s="134"/>
      <c r="F35" s="339"/>
      <c r="G35" s="342"/>
      <c r="H35" s="345"/>
      <c r="I35" s="215" t="s">
        <v>1829</v>
      </c>
      <c r="J35" s="216"/>
      <c r="K35" s="450"/>
      <c r="L35" s="448"/>
      <c r="M35" s="448"/>
      <c r="N35" s="448"/>
      <c r="O35" s="449"/>
      <c r="P35" s="441"/>
      <c r="Q35" s="443"/>
      <c r="R35" s="443"/>
      <c r="S35" s="443"/>
      <c r="T35" s="443"/>
      <c r="U35" s="443"/>
      <c r="V35" s="443"/>
      <c r="W35" s="208" t="s">
        <v>149</v>
      </c>
      <c r="X35" s="209"/>
      <c r="Y35" s="210">
        <v>4</v>
      </c>
      <c r="Z35" s="209" t="s">
        <v>150</v>
      </c>
      <c r="AA35" s="211">
        <v>5</v>
      </c>
    </row>
    <row r="36" spans="1:27" ht="41.45" customHeight="1" thickBot="1">
      <c r="A36" s="387"/>
      <c r="B36" s="391"/>
      <c r="C36" s="337"/>
      <c r="D36" s="135"/>
      <c r="E36" s="135"/>
      <c r="F36" s="340"/>
      <c r="G36" s="343"/>
      <c r="H36" s="346"/>
      <c r="I36" s="217" t="s">
        <v>151</v>
      </c>
      <c r="J36" s="218"/>
      <c r="K36" s="451"/>
      <c r="L36" s="452"/>
      <c r="M36" s="452"/>
      <c r="N36" s="452"/>
      <c r="O36" s="453"/>
      <c r="P36" s="444"/>
      <c r="Q36" s="445"/>
      <c r="R36" s="445"/>
      <c r="S36" s="445"/>
      <c r="T36" s="445"/>
      <c r="U36" s="445"/>
      <c r="V36" s="445"/>
      <c r="W36" s="212" t="s">
        <v>152</v>
      </c>
      <c r="X36" s="213"/>
      <c r="Y36" s="433"/>
      <c r="Z36" s="433"/>
      <c r="AA36" s="434"/>
    </row>
    <row r="37" spans="1:27" ht="17.100000000000001" customHeight="1" thickTop="1"/>
  </sheetData>
  <mergeCells count="33">
    <mergeCell ref="Y36:AA36"/>
    <mergeCell ref="U5:AA5"/>
    <mergeCell ref="U7:V7"/>
    <mergeCell ref="A8:A31"/>
    <mergeCell ref="B8:B31"/>
    <mergeCell ref="A32:A36"/>
    <mergeCell ref="B32:B36"/>
    <mergeCell ref="C32:C36"/>
    <mergeCell ref="F32:F36"/>
    <mergeCell ref="G32:G36"/>
    <mergeCell ref="H32:H36"/>
    <mergeCell ref="K32:O32"/>
    <mergeCell ref="P32:V36"/>
    <mergeCell ref="Y32:AA32"/>
    <mergeCell ref="K33:O36"/>
    <mergeCell ref="Y33:AA33"/>
    <mergeCell ref="Y34:AA34"/>
    <mergeCell ref="V1:AA1"/>
    <mergeCell ref="G2:L4"/>
    <mergeCell ref="V2:AA2"/>
    <mergeCell ref="V3:AA3"/>
    <mergeCell ref="V4:AA4"/>
    <mergeCell ref="G1:L1"/>
    <mergeCell ref="B4:B5"/>
    <mergeCell ref="C4:C5"/>
    <mergeCell ref="D4:D5"/>
    <mergeCell ref="E4:E5"/>
    <mergeCell ref="F4:F5"/>
    <mergeCell ref="B1:B3"/>
    <mergeCell ref="C1:C3"/>
    <mergeCell ref="D1:D3"/>
    <mergeCell ref="E1:E3"/>
    <mergeCell ref="F1:F3"/>
  </mergeCells>
  <dataValidations count="3">
    <dataValidation type="decimal" operator="greaterThan" showInputMessage="1" showErrorMessage="1" sqref="V23:V31 V8:V21" xr:uid="{71AC40AA-A1F3-4F4B-BEE0-C84307928614}">
      <formula1>0</formula1>
    </dataValidation>
    <dataValidation showInputMessage="1" showErrorMessage="1" sqref="M8:M31" xr:uid="{C5B93245-33F0-4EF6-96FE-115A2304D2C1}"/>
    <dataValidation type="decimal" showInputMessage="1" showErrorMessage="1" sqref="Q8:T31" xr:uid="{B86A4938-793D-47C2-9172-3701649AF256}">
      <formula1>0</formula1>
      <formula2>9999999</formula2>
    </dataValidation>
  </dataValidations>
  <printOptions horizontalCentered="1" verticalCentered="1"/>
  <pageMargins left="0" right="0" top="0" bottom="0" header="0" footer="0"/>
  <pageSetup paperSize="8" scale="55" orientation="landscape" r:id="rId1"/>
  <headerFooter alignWithMargins="0">
    <oddFooter>&amp;C&amp;1#&amp;"Arial"&amp;6&amp;K626469Internal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locked="0" defaultSize="0" autoFill="0" autoLine="0" autoPict="0">
                <anchor moveWithCells="1">
                  <from>
                    <xdr:col>7</xdr:col>
                    <xdr:colOff>247650</xdr:colOff>
                    <xdr:row>0</xdr:row>
                    <xdr:rowOff>200025</xdr:rowOff>
                  </from>
                  <to>
                    <xdr:col>8</xdr:col>
                    <xdr:colOff>1581150</xdr:colOff>
                    <xdr:row>0</xdr:row>
                    <xdr:rowOff>352425</xdr:rowOff>
                  </to>
                </anchor>
              </controlPr>
            </control>
          </mc:Choice>
        </mc:AlternateContent>
        <mc:AlternateContent xmlns:mc="http://schemas.openxmlformats.org/markup-compatibility/2006">
          <mc:Choice Requires="x14">
            <control shapeId="6146" r:id="rId5" name="Check Box 2">
              <controlPr locked="0" defaultSize="0" autoFill="0" autoLine="0" autoPict="0">
                <anchor moveWithCells="1">
                  <from>
                    <xdr:col>7</xdr:col>
                    <xdr:colOff>247650</xdr:colOff>
                    <xdr:row>0</xdr:row>
                    <xdr:rowOff>361950</xdr:rowOff>
                  </from>
                  <to>
                    <xdr:col>8</xdr:col>
                    <xdr:colOff>1400175</xdr:colOff>
                    <xdr:row>0</xdr:row>
                    <xdr:rowOff>581025</xdr:rowOff>
                  </to>
                </anchor>
              </controlPr>
            </control>
          </mc:Choice>
        </mc:AlternateContent>
        <mc:AlternateContent xmlns:mc="http://schemas.openxmlformats.org/markup-compatibility/2006">
          <mc:Choice Requires="x14">
            <control shapeId="6147" r:id="rId6" name="Check Box 3">
              <controlPr locked="0" defaultSize="0" autoFill="0" autoLine="0" autoPict="0">
                <anchor moveWithCells="1">
                  <from>
                    <xdr:col>9</xdr:col>
                    <xdr:colOff>38100</xdr:colOff>
                    <xdr:row>0</xdr:row>
                    <xdr:rowOff>180975</xdr:rowOff>
                  </from>
                  <to>
                    <xdr:col>9</xdr:col>
                    <xdr:colOff>1162050</xdr:colOff>
                    <xdr:row>0</xdr:row>
                    <xdr:rowOff>352425</xdr:rowOff>
                  </to>
                </anchor>
              </controlPr>
            </control>
          </mc:Choice>
        </mc:AlternateContent>
        <mc:AlternateContent xmlns:mc="http://schemas.openxmlformats.org/markup-compatibility/2006">
          <mc:Choice Requires="x14">
            <control shapeId="6148" r:id="rId7" name="Check Box 4">
              <controlPr locked="0" defaultSize="0" autoFill="0" autoLine="0" autoPict="0">
                <anchor moveWithCells="1">
                  <from>
                    <xdr:col>9</xdr:col>
                    <xdr:colOff>38100</xdr:colOff>
                    <xdr:row>0</xdr:row>
                    <xdr:rowOff>352425</xdr:rowOff>
                  </from>
                  <to>
                    <xdr:col>9</xdr:col>
                    <xdr:colOff>1419225</xdr:colOff>
                    <xdr:row>1</xdr:row>
                    <xdr:rowOff>0</xdr:rowOff>
                  </to>
                </anchor>
              </controlPr>
            </control>
          </mc:Choice>
        </mc:AlternateContent>
        <mc:AlternateContent xmlns:mc="http://schemas.openxmlformats.org/markup-compatibility/2006">
          <mc:Choice Requires="x14">
            <control shapeId="6161" r:id="rId8" name="Check Box 17">
              <controlPr locked="0" defaultSize="0" autoFill="0" autoLine="0" autoPict="0">
                <anchor moveWithCells="1">
                  <from>
                    <xdr:col>7</xdr:col>
                    <xdr:colOff>247650</xdr:colOff>
                    <xdr:row>0</xdr:row>
                    <xdr:rowOff>200025</xdr:rowOff>
                  </from>
                  <to>
                    <xdr:col>8</xdr:col>
                    <xdr:colOff>1581150</xdr:colOff>
                    <xdr:row>0</xdr:row>
                    <xdr:rowOff>352425</xdr:rowOff>
                  </to>
                </anchor>
              </controlPr>
            </control>
          </mc:Choice>
        </mc:AlternateContent>
        <mc:AlternateContent xmlns:mc="http://schemas.openxmlformats.org/markup-compatibility/2006">
          <mc:Choice Requires="x14">
            <control shapeId="6162" r:id="rId9" name="Check Box 18">
              <controlPr locked="0" defaultSize="0" autoFill="0" autoLine="0" autoPict="0">
                <anchor moveWithCells="1">
                  <from>
                    <xdr:col>7</xdr:col>
                    <xdr:colOff>247650</xdr:colOff>
                    <xdr:row>0</xdr:row>
                    <xdr:rowOff>361950</xdr:rowOff>
                  </from>
                  <to>
                    <xdr:col>8</xdr:col>
                    <xdr:colOff>1400175</xdr:colOff>
                    <xdr:row>0</xdr:row>
                    <xdr:rowOff>581025</xdr:rowOff>
                  </to>
                </anchor>
              </controlPr>
            </control>
          </mc:Choice>
        </mc:AlternateContent>
        <mc:AlternateContent xmlns:mc="http://schemas.openxmlformats.org/markup-compatibility/2006">
          <mc:Choice Requires="x14">
            <control shapeId="6163" r:id="rId10" name="Check Box 19">
              <controlPr locked="0" defaultSize="0" autoFill="0" autoLine="0" autoPict="0">
                <anchor moveWithCells="1">
                  <from>
                    <xdr:col>9</xdr:col>
                    <xdr:colOff>38100</xdr:colOff>
                    <xdr:row>0</xdr:row>
                    <xdr:rowOff>180975</xdr:rowOff>
                  </from>
                  <to>
                    <xdr:col>9</xdr:col>
                    <xdr:colOff>1162050</xdr:colOff>
                    <xdr:row>0</xdr:row>
                    <xdr:rowOff>352425</xdr:rowOff>
                  </to>
                </anchor>
              </controlPr>
            </control>
          </mc:Choice>
        </mc:AlternateContent>
        <mc:AlternateContent xmlns:mc="http://schemas.openxmlformats.org/markup-compatibility/2006">
          <mc:Choice Requires="x14">
            <control shapeId="6164" r:id="rId11" name="Check Box 20">
              <controlPr locked="0" defaultSize="0" autoFill="0" autoLine="0" autoPict="0">
                <anchor moveWithCells="1">
                  <from>
                    <xdr:col>9</xdr:col>
                    <xdr:colOff>38100</xdr:colOff>
                    <xdr:row>0</xdr:row>
                    <xdr:rowOff>352425</xdr:rowOff>
                  </from>
                  <to>
                    <xdr:col>9</xdr:col>
                    <xdr:colOff>1419225</xdr:colOff>
                    <xdr:row>1</xdr:row>
                    <xdr:rowOff>0</xdr:rowOff>
                  </to>
                </anchor>
              </controlPr>
            </control>
          </mc:Choice>
        </mc:AlternateContent>
        <mc:AlternateContent xmlns:mc="http://schemas.openxmlformats.org/markup-compatibility/2006">
          <mc:Choice Requires="x14">
            <control shapeId="6165" r:id="rId12" name="Check Box 21">
              <controlPr locked="0" defaultSize="0" autoFill="0" autoLine="0" autoPict="0">
                <anchor moveWithCells="1">
                  <from>
                    <xdr:col>7</xdr:col>
                    <xdr:colOff>247650</xdr:colOff>
                    <xdr:row>0</xdr:row>
                    <xdr:rowOff>200025</xdr:rowOff>
                  </from>
                  <to>
                    <xdr:col>8</xdr:col>
                    <xdr:colOff>1581150</xdr:colOff>
                    <xdr:row>0</xdr:row>
                    <xdr:rowOff>342900</xdr:rowOff>
                  </to>
                </anchor>
              </controlPr>
            </control>
          </mc:Choice>
        </mc:AlternateContent>
        <mc:AlternateContent xmlns:mc="http://schemas.openxmlformats.org/markup-compatibility/2006">
          <mc:Choice Requires="x14">
            <control shapeId="6166" r:id="rId13" name="Check Box 22">
              <controlPr locked="0" defaultSize="0" autoFill="0" autoLine="0" autoPict="0">
                <anchor moveWithCells="1">
                  <from>
                    <xdr:col>7</xdr:col>
                    <xdr:colOff>247650</xdr:colOff>
                    <xdr:row>0</xdr:row>
                    <xdr:rowOff>361950</xdr:rowOff>
                  </from>
                  <to>
                    <xdr:col>8</xdr:col>
                    <xdr:colOff>1400175</xdr:colOff>
                    <xdr:row>0</xdr:row>
                    <xdr:rowOff>581025</xdr:rowOff>
                  </to>
                </anchor>
              </controlPr>
            </control>
          </mc:Choice>
        </mc:AlternateContent>
        <mc:AlternateContent xmlns:mc="http://schemas.openxmlformats.org/markup-compatibility/2006">
          <mc:Choice Requires="x14">
            <control shapeId="6167" r:id="rId14" name="Check Box 23">
              <controlPr locked="0" defaultSize="0" autoFill="0" autoLine="0" autoPict="0">
                <anchor moveWithCells="1">
                  <from>
                    <xdr:col>9</xdr:col>
                    <xdr:colOff>38100</xdr:colOff>
                    <xdr:row>0</xdr:row>
                    <xdr:rowOff>180975</xdr:rowOff>
                  </from>
                  <to>
                    <xdr:col>9</xdr:col>
                    <xdr:colOff>1162050</xdr:colOff>
                    <xdr:row>0</xdr:row>
                    <xdr:rowOff>342900</xdr:rowOff>
                  </to>
                </anchor>
              </controlPr>
            </control>
          </mc:Choice>
        </mc:AlternateContent>
        <mc:AlternateContent xmlns:mc="http://schemas.openxmlformats.org/markup-compatibility/2006">
          <mc:Choice Requires="x14">
            <control shapeId="6168" r:id="rId15" name="Check Box 24">
              <controlPr locked="0" defaultSize="0" autoFill="0" autoLine="0" autoPict="0">
                <anchor moveWithCells="1">
                  <from>
                    <xdr:col>9</xdr:col>
                    <xdr:colOff>38100</xdr:colOff>
                    <xdr:row>0</xdr:row>
                    <xdr:rowOff>352425</xdr:rowOff>
                  </from>
                  <to>
                    <xdr:col>9</xdr:col>
                    <xdr:colOff>1409700</xdr:colOff>
                    <xdr:row>1</xdr:row>
                    <xdr:rowOff>0</xdr:rowOff>
                  </to>
                </anchor>
              </controlPr>
            </control>
          </mc:Choice>
        </mc:AlternateContent>
        <mc:AlternateContent xmlns:mc="http://schemas.openxmlformats.org/markup-compatibility/2006">
          <mc:Choice Requires="x14">
            <control shapeId="6169" r:id="rId16" name="Check Box 25">
              <controlPr locked="0" defaultSize="0" autoFill="0" autoLine="0" autoPict="0">
                <anchor moveWithCells="1">
                  <from>
                    <xdr:col>7</xdr:col>
                    <xdr:colOff>247650</xdr:colOff>
                    <xdr:row>0</xdr:row>
                    <xdr:rowOff>200025</xdr:rowOff>
                  </from>
                  <to>
                    <xdr:col>8</xdr:col>
                    <xdr:colOff>1609725</xdr:colOff>
                    <xdr:row>0</xdr:row>
                    <xdr:rowOff>342900</xdr:rowOff>
                  </to>
                </anchor>
              </controlPr>
            </control>
          </mc:Choice>
        </mc:AlternateContent>
        <mc:AlternateContent xmlns:mc="http://schemas.openxmlformats.org/markup-compatibility/2006">
          <mc:Choice Requires="x14">
            <control shapeId="6170" r:id="rId17" name="Check Box 26">
              <controlPr locked="0" defaultSize="0" autoFill="0" autoLine="0" autoPict="0">
                <anchor moveWithCells="1">
                  <from>
                    <xdr:col>7</xdr:col>
                    <xdr:colOff>247650</xdr:colOff>
                    <xdr:row>0</xdr:row>
                    <xdr:rowOff>361950</xdr:rowOff>
                  </from>
                  <to>
                    <xdr:col>8</xdr:col>
                    <xdr:colOff>1400175</xdr:colOff>
                    <xdr:row>0</xdr:row>
                    <xdr:rowOff>590550</xdr:rowOff>
                  </to>
                </anchor>
              </controlPr>
            </control>
          </mc:Choice>
        </mc:AlternateContent>
        <mc:AlternateContent xmlns:mc="http://schemas.openxmlformats.org/markup-compatibility/2006">
          <mc:Choice Requires="x14">
            <control shapeId="6171" r:id="rId18" name="Check Box 27">
              <controlPr locked="0" defaultSize="0" autoFill="0" autoLine="0" autoPict="0">
                <anchor moveWithCells="1">
                  <from>
                    <xdr:col>9</xdr:col>
                    <xdr:colOff>38100</xdr:colOff>
                    <xdr:row>0</xdr:row>
                    <xdr:rowOff>180975</xdr:rowOff>
                  </from>
                  <to>
                    <xdr:col>9</xdr:col>
                    <xdr:colOff>1162050</xdr:colOff>
                    <xdr:row>0</xdr:row>
                    <xdr:rowOff>352425</xdr:rowOff>
                  </to>
                </anchor>
              </controlPr>
            </control>
          </mc:Choice>
        </mc:AlternateContent>
        <mc:AlternateContent xmlns:mc="http://schemas.openxmlformats.org/markup-compatibility/2006">
          <mc:Choice Requires="x14">
            <control shapeId="6172" r:id="rId19" name="Check Box 28">
              <controlPr locked="0" defaultSize="0" autoFill="0" autoLine="0" autoPict="0">
                <anchor moveWithCells="1">
                  <from>
                    <xdr:col>9</xdr:col>
                    <xdr:colOff>38100</xdr:colOff>
                    <xdr:row>0</xdr:row>
                    <xdr:rowOff>352425</xdr:rowOff>
                  </from>
                  <to>
                    <xdr:col>9</xdr:col>
                    <xdr:colOff>1409700</xdr:colOff>
                    <xdr:row>0</xdr:row>
                    <xdr:rowOff>590550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operator="greaterThan" showDropDown="1" showInputMessage="1" showErrorMessage="1" xr:uid="{1C7E7D9E-FDE1-4417-A657-8C83CC1EF746}">
          <x14:formula1>
            <xm:f>'Validation Lists'!$E$2:$E$501</xm:f>
          </x14:formula1>
          <xm:sqref>W23:W31 W8:W21</xm:sqref>
        </x14:dataValidation>
        <x14:dataValidation type="list" showInputMessage="1" showErrorMessage="1" xr:uid="{554AF4C9-EBBB-4418-91DD-D8C24A572842}">
          <x14:formula1>
            <xm:f>'Validation Lists'!$P$2:$P$62</xm:f>
          </x14:formula1>
          <xm:sqref>N8:N31</xm:sqref>
        </x14:dataValidation>
        <x14:dataValidation type="list" showInputMessage="1" showErrorMessage="1" xr:uid="{7F7546FC-E0E7-4F1C-B81B-3500EEDD7AED}">
          <x14:formula1>
            <xm:f>'Validation Lists'!$J$3:$J$50</xm:f>
          </x14:formula1>
          <xm:sqref>Y8:Y31</xm:sqref>
        </x14:dataValidation>
        <x14:dataValidation type="list" allowBlank="1" showInputMessage="1" showErrorMessage="1" xr:uid="{9D74B085-576C-4B05-A5F0-ABDC0868EC22}">
          <x14:formula1>
            <xm:f>'Validation Lists'!$C$2:$C$6</xm:f>
          </x14:formula1>
          <xm:sqref>AA8:AA31</xm:sqref>
        </x14:dataValidation>
        <x14:dataValidation type="list" showInputMessage="1" showErrorMessage="1" xr:uid="{4A70FDBC-3B65-4049-B517-57EA60D87784}">
          <x14:formula1>
            <xm:f>'Validation Lists'!$G$2:$G$189</xm:f>
          </x14:formula1>
          <xm:sqref>U8:U31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6D94A-91CA-4F5E-A7F2-22EAFEFE4901}">
  <dimension ref="A1:M21"/>
  <sheetViews>
    <sheetView view="pageBreakPreview" topLeftCell="A7" zoomScaleNormal="115" zoomScaleSheetLayoutView="100" workbookViewId="0">
      <selection activeCell="H15" sqref="H15:M15"/>
    </sheetView>
  </sheetViews>
  <sheetFormatPr defaultColWidth="8.7109375" defaultRowHeight="12.75"/>
  <cols>
    <col min="1" max="1" width="4.7109375" style="83" customWidth="1"/>
    <col min="2" max="2" width="5.140625" style="83" customWidth="1"/>
    <col min="3" max="3" width="4.85546875" style="83" customWidth="1"/>
    <col min="4" max="6" width="3.7109375" style="83" customWidth="1"/>
    <col min="7" max="7" width="5.28515625" style="83" customWidth="1"/>
    <col min="8" max="8" width="6" style="83" customWidth="1"/>
    <col min="9" max="11" width="3.7109375" style="83" customWidth="1"/>
    <col min="12" max="12" width="12.7109375" style="83" customWidth="1"/>
    <col min="13" max="13" width="30.42578125" style="83" customWidth="1"/>
    <col min="14" max="16384" width="8.7109375" style="83"/>
  </cols>
  <sheetData>
    <row r="1" spans="1:13" ht="16.899999999999999" customHeight="1" thickTop="1">
      <c r="A1" s="130"/>
      <c r="B1" s="415" t="s">
        <v>153</v>
      </c>
      <c r="C1" s="146"/>
      <c r="D1" s="466" t="s">
        <v>2</v>
      </c>
      <c r="E1" s="466" t="s">
        <v>2</v>
      </c>
      <c r="F1" s="466" t="s">
        <v>2</v>
      </c>
      <c r="G1" s="80" t="s">
        <v>154</v>
      </c>
      <c r="H1" s="81"/>
      <c r="I1" s="81"/>
      <c r="J1" s="82"/>
      <c r="K1" s="82"/>
      <c r="L1" s="404" t="s">
        <v>6</v>
      </c>
      <c r="M1" s="405"/>
    </row>
    <row r="2" spans="1:13" ht="15.6" customHeight="1">
      <c r="A2" s="131">
        <v>1</v>
      </c>
      <c r="B2" s="416"/>
      <c r="C2" s="147"/>
      <c r="D2" s="467"/>
      <c r="E2" s="467"/>
      <c r="F2" s="467"/>
      <c r="G2" s="152" t="s">
        <v>10</v>
      </c>
      <c r="H2" s="84"/>
      <c r="I2" s="84"/>
      <c r="J2" s="84"/>
      <c r="K2" s="84"/>
      <c r="L2" s="402" t="s">
        <v>11</v>
      </c>
      <c r="M2" s="403"/>
    </row>
    <row r="3" spans="1:13" ht="27" customHeight="1" thickBot="1">
      <c r="A3" s="132"/>
      <c r="B3" s="417"/>
      <c r="C3" s="148"/>
      <c r="D3" s="468"/>
      <c r="E3" s="468"/>
      <c r="F3" s="468"/>
      <c r="G3" s="152" t="s">
        <v>155</v>
      </c>
      <c r="H3" s="84"/>
      <c r="I3" s="84"/>
      <c r="J3" s="84"/>
      <c r="K3" s="84"/>
      <c r="L3" s="402" t="s">
        <v>14</v>
      </c>
      <c r="M3" s="403"/>
    </row>
    <row r="4" spans="1:13" ht="16.899999999999999" customHeight="1" thickBot="1">
      <c r="A4" s="86"/>
      <c r="B4" s="418" t="s">
        <v>156</v>
      </c>
      <c r="C4" s="149"/>
      <c r="D4" s="412" t="s">
        <v>224</v>
      </c>
      <c r="E4" s="412" t="s">
        <v>224</v>
      </c>
      <c r="F4" s="412" t="s">
        <v>262</v>
      </c>
      <c r="G4" s="153" t="s">
        <v>158</v>
      </c>
      <c r="H4" s="87"/>
      <c r="I4" s="87"/>
      <c r="J4" s="87"/>
      <c r="K4" s="87"/>
      <c r="L4" s="407" t="s">
        <v>14</v>
      </c>
      <c r="M4" s="408"/>
    </row>
    <row r="5" spans="1:13" ht="38.450000000000003" customHeight="1" thickBot="1">
      <c r="A5" s="88">
        <v>2</v>
      </c>
      <c r="B5" s="419"/>
      <c r="C5" s="148"/>
      <c r="D5" s="413"/>
      <c r="E5" s="413"/>
      <c r="F5" s="413"/>
      <c r="G5" s="89"/>
      <c r="H5" s="89"/>
      <c r="I5" s="89"/>
      <c r="J5" s="89"/>
      <c r="K5" s="89"/>
      <c r="L5" s="89"/>
      <c r="M5" s="90"/>
    </row>
    <row r="6" spans="1:13" ht="49.15" customHeight="1" thickBot="1">
      <c r="A6" s="91">
        <v>3</v>
      </c>
      <c r="B6" s="156" t="s">
        <v>159</v>
      </c>
      <c r="C6" s="150"/>
      <c r="D6" s="162" t="s">
        <v>2</v>
      </c>
      <c r="E6" s="162" t="s">
        <v>2</v>
      </c>
      <c r="F6" s="162" t="s">
        <v>2</v>
      </c>
      <c r="G6" s="92"/>
      <c r="H6" s="92"/>
      <c r="I6" s="92"/>
      <c r="J6" s="92"/>
      <c r="K6" s="92"/>
      <c r="L6" s="92"/>
      <c r="M6" s="93"/>
    </row>
    <row r="7" spans="1:13" ht="27.6" customHeight="1" thickBot="1">
      <c r="A7" s="94">
        <v>4</v>
      </c>
      <c r="B7" s="157" t="s">
        <v>45</v>
      </c>
      <c r="C7" s="151"/>
      <c r="D7" s="155">
        <v>3</v>
      </c>
      <c r="E7" s="155">
        <v>2</v>
      </c>
      <c r="F7" s="155">
        <v>2</v>
      </c>
      <c r="G7" s="409" t="s">
        <v>160</v>
      </c>
      <c r="H7" s="410"/>
      <c r="I7" s="410"/>
      <c r="J7" s="410"/>
      <c r="K7" s="410"/>
      <c r="L7" s="410"/>
      <c r="M7" s="411"/>
    </row>
    <row r="8" spans="1:13" ht="39" customHeight="1" thickBot="1">
      <c r="A8" s="424">
        <v>5</v>
      </c>
      <c r="B8" s="398" t="s">
        <v>161</v>
      </c>
      <c r="C8" s="96">
        <v>8</v>
      </c>
      <c r="D8" s="164">
        <v>1</v>
      </c>
      <c r="E8" s="165"/>
      <c r="F8" s="154"/>
      <c r="G8" s="161">
        <v>8</v>
      </c>
      <c r="H8" s="399" t="s">
        <v>240</v>
      </c>
      <c r="I8" s="400" t="s">
        <v>240</v>
      </c>
      <c r="J8" s="400" t="s">
        <v>240</v>
      </c>
      <c r="K8" s="400" t="s">
        <v>240</v>
      </c>
      <c r="L8" s="400" t="s">
        <v>240</v>
      </c>
      <c r="M8" s="401" t="s">
        <v>240</v>
      </c>
    </row>
    <row r="9" spans="1:13" ht="39" customHeight="1" thickBot="1">
      <c r="A9" s="424"/>
      <c r="B9" s="398"/>
      <c r="C9" s="96">
        <v>9</v>
      </c>
      <c r="D9" s="164">
        <v>1</v>
      </c>
      <c r="E9" s="165"/>
      <c r="F9" s="154"/>
      <c r="G9" s="161">
        <v>9</v>
      </c>
      <c r="H9" s="399" t="s">
        <v>242</v>
      </c>
      <c r="I9" s="400" t="s">
        <v>242</v>
      </c>
      <c r="J9" s="400" t="s">
        <v>242</v>
      </c>
      <c r="K9" s="400" t="s">
        <v>242</v>
      </c>
      <c r="L9" s="400" t="s">
        <v>242</v>
      </c>
      <c r="M9" s="401" t="s">
        <v>242</v>
      </c>
    </row>
    <row r="10" spans="1:13" ht="39" customHeight="1" thickBot="1">
      <c r="A10" s="424"/>
      <c r="B10" s="398"/>
      <c r="C10" s="96">
        <v>10</v>
      </c>
      <c r="D10" s="164"/>
      <c r="E10" s="165">
        <v>1</v>
      </c>
      <c r="F10" s="154"/>
      <c r="G10" s="161">
        <v>10</v>
      </c>
      <c r="H10" s="399" t="s">
        <v>244</v>
      </c>
      <c r="I10" s="400" t="s">
        <v>244</v>
      </c>
      <c r="J10" s="400" t="s">
        <v>244</v>
      </c>
      <c r="K10" s="400" t="s">
        <v>244</v>
      </c>
      <c r="L10" s="400" t="s">
        <v>244</v>
      </c>
      <c r="M10" s="401" t="s">
        <v>244</v>
      </c>
    </row>
    <row r="11" spans="1:13" ht="39" customHeight="1" thickBot="1">
      <c r="A11" s="424"/>
      <c r="B11" s="398"/>
      <c r="C11" s="96">
        <v>11</v>
      </c>
      <c r="D11" s="98"/>
      <c r="E11" s="165">
        <v>1</v>
      </c>
      <c r="F11" s="99"/>
      <c r="G11" s="161">
        <v>11</v>
      </c>
      <c r="H11" s="399" t="s">
        <v>248</v>
      </c>
      <c r="I11" s="400" t="s">
        <v>248</v>
      </c>
      <c r="J11" s="400" t="s">
        <v>248</v>
      </c>
      <c r="K11" s="400" t="s">
        <v>248</v>
      </c>
      <c r="L11" s="400" t="s">
        <v>248</v>
      </c>
      <c r="M11" s="401" t="s">
        <v>248</v>
      </c>
    </row>
    <row r="12" spans="1:13" ht="39" customHeight="1" thickBot="1">
      <c r="A12" s="424"/>
      <c r="B12" s="398"/>
      <c r="C12" s="96">
        <v>12</v>
      </c>
      <c r="D12" s="98"/>
      <c r="E12" s="165">
        <v>1</v>
      </c>
      <c r="F12" s="99"/>
      <c r="G12" s="161">
        <v>12</v>
      </c>
      <c r="H12" s="399" t="s">
        <v>249</v>
      </c>
      <c r="I12" s="400" t="s">
        <v>249</v>
      </c>
      <c r="J12" s="400" t="s">
        <v>249</v>
      </c>
      <c r="K12" s="400" t="s">
        <v>249</v>
      </c>
      <c r="L12" s="400" t="s">
        <v>249</v>
      </c>
      <c r="M12" s="401" t="s">
        <v>249</v>
      </c>
    </row>
    <row r="13" spans="1:13" ht="39" customHeight="1" thickBot="1">
      <c r="A13" s="424"/>
      <c r="B13" s="398"/>
      <c r="C13" s="96">
        <v>13</v>
      </c>
      <c r="D13" s="98"/>
      <c r="E13" s="165"/>
      <c r="F13" s="163">
        <v>1</v>
      </c>
      <c r="G13" s="161">
        <v>13</v>
      </c>
      <c r="H13" s="399" t="s">
        <v>252</v>
      </c>
      <c r="I13" s="400" t="s">
        <v>252</v>
      </c>
      <c r="J13" s="400" t="s">
        <v>252</v>
      </c>
      <c r="K13" s="400" t="s">
        <v>252</v>
      </c>
      <c r="L13" s="400" t="s">
        <v>252</v>
      </c>
      <c r="M13" s="401" t="s">
        <v>252</v>
      </c>
    </row>
    <row r="14" spans="1:13" ht="39" customHeight="1" thickBot="1">
      <c r="A14" s="424"/>
      <c r="B14" s="398"/>
      <c r="C14" s="96">
        <v>14</v>
      </c>
      <c r="D14" s="98"/>
      <c r="E14" s="165"/>
      <c r="F14" s="163">
        <v>1</v>
      </c>
      <c r="G14" s="161">
        <v>14</v>
      </c>
      <c r="H14" s="399" t="s">
        <v>255</v>
      </c>
      <c r="I14" s="400" t="s">
        <v>255</v>
      </c>
      <c r="J14" s="400" t="s">
        <v>255</v>
      </c>
      <c r="K14" s="400" t="s">
        <v>255</v>
      </c>
      <c r="L14" s="400" t="s">
        <v>255</v>
      </c>
      <c r="M14" s="401" t="s">
        <v>255</v>
      </c>
    </row>
    <row r="15" spans="1:13" ht="39" customHeight="1" thickBot="1">
      <c r="A15" s="424"/>
      <c r="B15" s="398"/>
      <c r="C15" s="96">
        <v>15</v>
      </c>
      <c r="D15" s="100"/>
      <c r="E15" s="101"/>
      <c r="F15" s="163">
        <v>1</v>
      </c>
      <c r="G15" s="161">
        <v>15</v>
      </c>
      <c r="H15" s="399" t="s">
        <v>258</v>
      </c>
      <c r="I15" s="400" t="s">
        <v>258</v>
      </c>
      <c r="J15" s="400" t="s">
        <v>258</v>
      </c>
      <c r="K15" s="400" t="s">
        <v>258</v>
      </c>
      <c r="L15" s="400" t="s">
        <v>258</v>
      </c>
      <c r="M15" s="401" t="s">
        <v>258</v>
      </c>
    </row>
    <row r="16" spans="1:13" ht="17.100000000000001" customHeight="1">
      <c r="A16" s="423">
        <v>6</v>
      </c>
      <c r="B16" s="418" t="s">
        <v>162</v>
      </c>
      <c r="C16" s="460" t="s">
        <v>263</v>
      </c>
      <c r="D16" s="461"/>
      <c r="E16" s="461"/>
      <c r="F16" s="461"/>
      <c r="G16" s="461"/>
      <c r="H16" s="461"/>
      <c r="I16" s="114" t="s">
        <v>141</v>
      </c>
      <c r="J16" s="114"/>
      <c r="K16" s="115"/>
      <c r="L16" s="159" t="s">
        <v>1801</v>
      </c>
      <c r="M16" s="116"/>
    </row>
    <row r="17" spans="1:13" ht="17.100000000000001" customHeight="1">
      <c r="A17" s="424"/>
      <c r="B17" s="459"/>
      <c r="C17" s="462"/>
      <c r="D17" s="463"/>
      <c r="E17" s="463"/>
      <c r="F17" s="463"/>
      <c r="G17" s="463"/>
      <c r="H17" s="463"/>
      <c r="I17" s="117" t="s">
        <v>144</v>
      </c>
      <c r="J17" s="118"/>
      <c r="K17" s="119"/>
      <c r="L17" s="159" t="s">
        <v>1830</v>
      </c>
      <c r="M17" s="120"/>
    </row>
    <row r="18" spans="1:13" ht="17.100000000000001" customHeight="1">
      <c r="A18" s="424"/>
      <c r="B18" s="459"/>
      <c r="C18" s="462"/>
      <c r="D18" s="463"/>
      <c r="E18" s="463"/>
      <c r="F18" s="463"/>
      <c r="G18" s="463"/>
      <c r="H18" s="463"/>
      <c r="I18" s="117" t="s">
        <v>146</v>
      </c>
      <c r="J18" s="118"/>
      <c r="K18" s="119"/>
      <c r="L18" s="159" t="s">
        <v>147</v>
      </c>
      <c r="M18" s="120"/>
    </row>
    <row r="19" spans="1:13" ht="17.100000000000001" customHeight="1">
      <c r="A19" s="424"/>
      <c r="B19" s="459"/>
      <c r="C19" s="464"/>
      <c r="D19" s="465"/>
      <c r="E19" s="465"/>
      <c r="F19" s="465"/>
      <c r="G19" s="465"/>
      <c r="H19" s="465"/>
      <c r="I19" s="121" t="s">
        <v>149</v>
      </c>
      <c r="J19" s="122"/>
      <c r="K19" s="159">
        <v>5</v>
      </c>
      <c r="L19" s="158" t="s">
        <v>150</v>
      </c>
      <c r="M19" s="85">
        <v>5</v>
      </c>
    </row>
    <row r="20" spans="1:13" ht="39.6" customHeight="1" thickBot="1">
      <c r="A20" s="425"/>
      <c r="B20" s="422"/>
      <c r="C20" s="123" t="s">
        <v>163</v>
      </c>
      <c r="D20" s="124"/>
      <c r="E20" s="124"/>
      <c r="F20" s="124"/>
      <c r="G20" s="125"/>
      <c r="H20" s="126"/>
      <c r="I20" s="127" t="s">
        <v>152</v>
      </c>
      <c r="J20" s="128"/>
      <c r="K20" s="128"/>
      <c r="L20" s="160" t="s">
        <v>1801</v>
      </c>
      <c r="M20" s="129"/>
    </row>
    <row r="21" spans="1:13" ht="17.100000000000001" customHeight="1" thickTop="1"/>
  </sheetData>
  <mergeCells count="26">
    <mergeCell ref="L4:M4"/>
    <mergeCell ref="B1:B3"/>
    <mergeCell ref="D1:D3"/>
    <mergeCell ref="E1:E3"/>
    <mergeCell ref="F1:F3"/>
    <mergeCell ref="L1:M1"/>
    <mergeCell ref="L2:M2"/>
    <mergeCell ref="L3:M3"/>
    <mergeCell ref="B4:B5"/>
    <mergeCell ref="D4:D5"/>
    <mergeCell ref="E4:E5"/>
    <mergeCell ref="F4:F5"/>
    <mergeCell ref="G7:M7"/>
    <mergeCell ref="A8:A15"/>
    <mergeCell ref="B8:B15"/>
    <mergeCell ref="H11:M11"/>
    <mergeCell ref="H15:M15"/>
    <mergeCell ref="H12:M12"/>
    <mergeCell ref="H13:M13"/>
    <mergeCell ref="H14:M14"/>
    <mergeCell ref="A16:A20"/>
    <mergeCell ref="B16:B20"/>
    <mergeCell ref="C16:H19"/>
    <mergeCell ref="H8:M8"/>
    <mergeCell ref="H9:M9"/>
    <mergeCell ref="H10:M10"/>
  </mergeCells>
  <phoneticPr fontId="34" type="noConversion"/>
  <printOptions horizontalCentered="1" verticalCentered="1"/>
  <pageMargins left="0" right="0" top="0" bottom="0" header="0" footer="0"/>
  <pageSetup paperSize="9" scale="90" orientation="landscape" r:id="rId1"/>
  <headerFooter alignWithMargins="0">
    <oddHeader>&amp;L&amp;"Calibri"&amp;10&amp;K000000CLASSIFICATION: C1 - CONTROLLED&amp;1#</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92E4E-3E99-4D5D-80F2-CA71B16F8926}">
  <sheetPr>
    <pageSetUpPr fitToPage="1"/>
  </sheetPr>
  <dimension ref="A1:N350"/>
  <sheetViews>
    <sheetView view="pageBreakPreview" topLeftCell="A31" zoomScale="70" zoomScaleSheetLayoutView="70" workbookViewId="0">
      <selection activeCell="M15" sqref="M15"/>
    </sheetView>
  </sheetViews>
  <sheetFormatPr defaultColWidth="9.140625" defaultRowHeight="15"/>
  <cols>
    <col min="1" max="1" width="13.85546875" style="177" customWidth="1"/>
    <col min="2" max="2" width="18.5703125" style="177" customWidth="1"/>
    <col min="3" max="3" width="18" style="177" customWidth="1"/>
    <col min="4" max="4" width="19.5703125" style="177" customWidth="1"/>
    <col min="5" max="5" width="32" style="177" customWidth="1"/>
    <col min="6" max="6" width="15.28515625" style="177" customWidth="1"/>
    <col min="7" max="7" width="13.140625" style="177" customWidth="1"/>
    <col min="8" max="9" width="9.42578125" style="177" customWidth="1"/>
    <col min="10" max="10" width="21.5703125" style="177" customWidth="1"/>
    <col min="11" max="11" width="24" style="177" customWidth="1"/>
    <col min="12" max="12" width="27.28515625" style="177" customWidth="1"/>
    <col min="13" max="13" width="11.85546875" style="177" customWidth="1"/>
    <col min="14" max="14" width="23.5703125" style="177" customWidth="1"/>
    <col min="15" max="16384" width="9.140625" style="178"/>
  </cols>
  <sheetData>
    <row r="1" spans="1:14" s="168" customFormat="1" ht="38.25" customHeight="1">
      <c r="A1" s="469" t="s">
        <v>264</v>
      </c>
      <c r="B1" s="470"/>
      <c r="C1" s="470"/>
      <c r="D1" s="470"/>
      <c r="E1" s="470"/>
      <c r="F1" s="470"/>
      <c r="G1" s="470"/>
      <c r="H1" s="470"/>
      <c r="I1" s="470"/>
      <c r="J1" s="470"/>
      <c r="K1" s="470"/>
      <c r="L1" s="470"/>
      <c r="M1" s="470"/>
      <c r="N1" s="470"/>
    </row>
    <row r="2" spans="1:14" s="168" customFormat="1" ht="38.25" customHeight="1">
      <c r="A2" s="169" t="s">
        <v>265</v>
      </c>
      <c r="B2" s="169" t="s">
        <v>266</v>
      </c>
      <c r="C2" s="169" t="s">
        <v>267</v>
      </c>
      <c r="D2" s="169" t="s">
        <v>268</v>
      </c>
      <c r="E2" s="169" t="s">
        <v>269</v>
      </c>
      <c r="F2" s="169" t="s">
        <v>270</v>
      </c>
      <c r="G2" s="169" t="s">
        <v>271</v>
      </c>
      <c r="H2" s="169" t="s">
        <v>272</v>
      </c>
      <c r="I2" s="169" t="s">
        <v>273</v>
      </c>
      <c r="J2" s="170" t="s">
        <v>274</v>
      </c>
      <c r="K2" s="169" t="s">
        <v>275</v>
      </c>
      <c r="L2" s="169" t="s">
        <v>1822</v>
      </c>
      <c r="M2" s="169" t="s">
        <v>276</v>
      </c>
      <c r="N2" s="169" t="s">
        <v>277</v>
      </c>
    </row>
    <row r="3" spans="1:14" s="174" customFormat="1" ht="55.5" customHeight="1">
      <c r="A3" s="171">
        <v>10</v>
      </c>
      <c r="B3" s="171" t="s">
        <v>278</v>
      </c>
      <c r="C3" s="171">
        <v>4500110453</v>
      </c>
      <c r="D3" s="171">
        <v>7700250051</v>
      </c>
      <c r="E3" s="172" t="s">
        <v>279</v>
      </c>
      <c r="F3" s="172" t="s">
        <v>280</v>
      </c>
      <c r="G3" s="172" t="s">
        <v>281</v>
      </c>
      <c r="H3" s="172" t="s">
        <v>282</v>
      </c>
      <c r="I3" s="172" t="s">
        <v>283</v>
      </c>
      <c r="J3" s="172" t="s">
        <v>284</v>
      </c>
      <c r="K3" s="173" t="s">
        <v>285</v>
      </c>
      <c r="L3" s="173">
        <v>715</v>
      </c>
      <c r="M3" s="173">
        <v>1</v>
      </c>
      <c r="N3" s="173" t="s">
        <v>286</v>
      </c>
    </row>
    <row r="4" spans="1:14" s="174" customFormat="1" ht="55.5" customHeight="1">
      <c r="A4" s="171">
        <v>10</v>
      </c>
      <c r="B4" s="171" t="s">
        <v>278</v>
      </c>
      <c r="C4" s="171">
        <v>4500110453</v>
      </c>
      <c r="D4" s="171">
        <v>7700250051</v>
      </c>
      <c r="E4" s="172" t="s">
        <v>279</v>
      </c>
      <c r="F4" s="172" t="s">
        <v>280</v>
      </c>
      <c r="G4" s="172" t="s">
        <v>281</v>
      </c>
      <c r="H4" s="172" t="s">
        <v>282</v>
      </c>
      <c r="I4" s="172" t="s">
        <v>283</v>
      </c>
      <c r="J4" s="172" t="s">
        <v>284</v>
      </c>
      <c r="K4" s="173" t="s">
        <v>287</v>
      </c>
      <c r="L4" s="173">
        <v>715</v>
      </c>
      <c r="M4" s="173">
        <v>1</v>
      </c>
      <c r="N4" s="173" t="s">
        <v>286</v>
      </c>
    </row>
    <row r="5" spans="1:14" s="174" customFormat="1" ht="55.5" customHeight="1">
      <c r="A5" s="171">
        <v>10</v>
      </c>
      <c r="B5" s="171" t="s">
        <v>278</v>
      </c>
      <c r="C5" s="171">
        <v>4500110453</v>
      </c>
      <c r="D5" s="171">
        <v>7700250051</v>
      </c>
      <c r="E5" s="172" t="s">
        <v>279</v>
      </c>
      <c r="F5" s="172" t="s">
        <v>280</v>
      </c>
      <c r="G5" s="172" t="s">
        <v>281</v>
      </c>
      <c r="H5" s="172" t="s">
        <v>282</v>
      </c>
      <c r="I5" s="172" t="s">
        <v>283</v>
      </c>
      <c r="J5" s="172" t="s">
        <v>284</v>
      </c>
      <c r="K5" s="173" t="s">
        <v>288</v>
      </c>
      <c r="L5" s="173">
        <v>715</v>
      </c>
      <c r="M5" s="173">
        <v>1</v>
      </c>
      <c r="N5" s="173" t="s">
        <v>286</v>
      </c>
    </row>
    <row r="6" spans="1:14" s="174" customFormat="1" ht="55.5" customHeight="1">
      <c r="A6" s="171">
        <v>10</v>
      </c>
      <c r="B6" s="171" t="s">
        <v>278</v>
      </c>
      <c r="C6" s="171">
        <v>4500110453</v>
      </c>
      <c r="D6" s="171">
        <v>7700250051</v>
      </c>
      <c r="E6" s="172" t="s">
        <v>279</v>
      </c>
      <c r="F6" s="172" t="s">
        <v>280</v>
      </c>
      <c r="G6" s="172" t="s">
        <v>281</v>
      </c>
      <c r="H6" s="172" t="s">
        <v>282</v>
      </c>
      <c r="I6" s="172" t="s">
        <v>283</v>
      </c>
      <c r="J6" s="172" t="s">
        <v>284</v>
      </c>
      <c r="K6" s="173" t="s">
        <v>289</v>
      </c>
      <c r="L6" s="173">
        <v>715</v>
      </c>
      <c r="M6" s="173">
        <v>1</v>
      </c>
      <c r="N6" s="173" t="s">
        <v>286</v>
      </c>
    </row>
    <row r="7" spans="1:14" s="174" customFormat="1" ht="55.5" customHeight="1">
      <c r="A7" s="171">
        <v>20</v>
      </c>
      <c r="B7" s="171" t="s">
        <v>278</v>
      </c>
      <c r="C7" s="171">
        <v>4500110453</v>
      </c>
      <c r="D7" s="171">
        <v>7700250081</v>
      </c>
      <c r="E7" s="172" t="s">
        <v>279</v>
      </c>
      <c r="F7" s="172" t="s">
        <v>290</v>
      </c>
      <c r="G7" s="172" t="s">
        <v>281</v>
      </c>
      <c r="H7" s="172" t="s">
        <v>282</v>
      </c>
      <c r="I7" s="172" t="s">
        <v>283</v>
      </c>
      <c r="J7" s="172" t="s">
        <v>284</v>
      </c>
      <c r="K7" s="173" t="s">
        <v>291</v>
      </c>
      <c r="L7" s="173">
        <v>715</v>
      </c>
      <c r="M7" s="173">
        <v>1</v>
      </c>
      <c r="N7" s="173" t="s">
        <v>286</v>
      </c>
    </row>
    <row r="8" spans="1:14" s="174" customFormat="1" ht="55.5" customHeight="1">
      <c r="A8" s="171">
        <v>20</v>
      </c>
      <c r="B8" s="171" t="s">
        <v>278</v>
      </c>
      <c r="C8" s="171">
        <v>4500110453</v>
      </c>
      <c r="D8" s="171">
        <v>7700250081</v>
      </c>
      <c r="E8" s="172" t="s">
        <v>279</v>
      </c>
      <c r="F8" s="172" t="s">
        <v>290</v>
      </c>
      <c r="G8" s="172" t="s">
        <v>281</v>
      </c>
      <c r="H8" s="172" t="s">
        <v>282</v>
      </c>
      <c r="I8" s="172" t="s">
        <v>283</v>
      </c>
      <c r="J8" s="172" t="s">
        <v>284</v>
      </c>
      <c r="K8" s="173" t="s">
        <v>292</v>
      </c>
      <c r="L8" s="173">
        <v>715</v>
      </c>
      <c r="M8" s="173">
        <v>1</v>
      </c>
      <c r="N8" s="173" t="s">
        <v>286</v>
      </c>
    </row>
    <row r="9" spans="1:14" s="174" customFormat="1" ht="55.5" customHeight="1">
      <c r="A9" s="171">
        <v>20</v>
      </c>
      <c r="B9" s="171" t="s">
        <v>278</v>
      </c>
      <c r="C9" s="171">
        <v>4500110453</v>
      </c>
      <c r="D9" s="171">
        <v>7700250081</v>
      </c>
      <c r="E9" s="172" t="s">
        <v>279</v>
      </c>
      <c r="F9" s="172" t="s">
        <v>290</v>
      </c>
      <c r="G9" s="172" t="s">
        <v>281</v>
      </c>
      <c r="H9" s="172" t="s">
        <v>282</v>
      </c>
      <c r="I9" s="172" t="s">
        <v>283</v>
      </c>
      <c r="J9" s="172" t="s">
        <v>284</v>
      </c>
      <c r="K9" s="173" t="s">
        <v>293</v>
      </c>
      <c r="L9" s="173">
        <v>715</v>
      </c>
      <c r="M9" s="173">
        <v>1</v>
      </c>
      <c r="N9" s="173" t="s">
        <v>286</v>
      </c>
    </row>
    <row r="10" spans="1:14" s="174" customFormat="1" ht="55.5" customHeight="1">
      <c r="A10" s="171">
        <v>20</v>
      </c>
      <c r="B10" s="171" t="s">
        <v>278</v>
      </c>
      <c r="C10" s="171">
        <v>4500110453</v>
      </c>
      <c r="D10" s="171">
        <v>7700250081</v>
      </c>
      <c r="E10" s="172" t="s">
        <v>279</v>
      </c>
      <c r="F10" s="172" t="s">
        <v>290</v>
      </c>
      <c r="G10" s="172" t="s">
        <v>281</v>
      </c>
      <c r="H10" s="172" t="s">
        <v>282</v>
      </c>
      <c r="I10" s="172" t="s">
        <v>283</v>
      </c>
      <c r="J10" s="172" t="s">
        <v>284</v>
      </c>
      <c r="K10" s="173" t="s">
        <v>294</v>
      </c>
      <c r="L10" s="173">
        <v>715</v>
      </c>
      <c r="M10" s="173">
        <v>1</v>
      </c>
      <c r="N10" s="173" t="s">
        <v>286</v>
      </c>
    </row>
    <row r="11" spans="1:14" s="174" customFormat="1" ht="55.5" customHeight="1">
      <c r="A11" s="171">
        <v>30</v>
      </c>
      <c r="B11" s="171" t="s">
        <v>278</v>
      </c>
      <c r="C11" s="171">
        <v>4500110453</v>
      </c>
      <c r="D11" s="171">
        <v>7700250101</v>
      </c>
      <c r="E11" s="172" t="s">
        <v>279</v>
      </c>
      <c r="F11" s="172" t="s">
        <v>295</v>
      </c>
      <c r="G11" s="172" t="s">
        <v>281</v>
      </c>
      <c r="H11" s="172" t="s">
        <v>282</v>
      </c>
      <c r="I11" s="172" t="s">
        <v>283</v>
      </c>
      <c r="J11" s="172" t="s">
        <v>284</v>
      </c>
      <c r="K11" s="173" t="s">
        <v>296</v>
      </c>
      <c r="L11" s="173">
        <v>715</v>
      </c>
      <c r="M11" s="173">
        <v>1</v>
      </c>
      <c r="N11" s="173" t="str">
        <f>_xlfn.XLOOKUP(K11,'[1]From CDC site verification P1 '!D:D,'[1]From CDC site verification P1 '!E:E,0,0)</f>
        <v>13-BV-5054</v>
      </c>
    </row>
    <row r="12" spans="1:14" s="174" customFormat="1" ht="55.5" customHeight="1">
      <c r="A12" s="171">
        <v>30</v>
      </c>
      <c r="B12" s="171" t="s">
        <v>278</v>
      </c>
      <c r="C12" s="171">
        <v>4500110453</v>
      </c>
      <c r="D12" s="171">
        <v>7700250101</v>
      </c>
      <c r="E12" s="172" t="s">
        <v>279</v>
      </c>
      <c r="F12" s="172" t="s">
        <v>295</v>
      </c>
      <c r="G12" s="172" t="s">
        <v>281</v>
      </c>
      <c r="H12" s="172" t="s">
        <v>282</v>
      </c>
      <c r="I12" s="172" t="s">
        <v>283</v>
      </c>
      <c r="J12" s="172" t="s">
        <v>284</v>
      </c>
      <c r="K12" s="173" t="s">
        <v>297</v>
      </c>
      <c r="L12" s="173">
        <v>715</v>
      </c>
      <c r="M12" s="173">
        <v>1</v>
      </c>
      <c r="N12" s="173" t="str">
        <f>_xlfn.XLOOKUP(K12,'[1]From CDC site verification P1 '!D:D,'[1]From CDC site verification P1 '!E:E,0,0)</f>
        <v>13-BV-5052</v>
      </c>
    </row>
    <row r="13" spans="1:14" s="174" customFormat="1" ht="55.5" customHeight="1">
      <c r="A13" s="171">
        <v>40</v>
      </c>
      <c r="B13" s="171" t="s">
        <v>278</v>
      </c>
      <c r="C13" s="171">
        <v>4500110453</v>
      </c>
      <c r="D13" s="171">
        <v>7700252051</v>
      </c>
      <c r="E13" s="172" t="s">
        <v>279</v>
      </c>
      <c r="F13" s="172" t="s">
        <v>280</v>
      </c>
      <c r="G13" s="172" t="s">
        <v>281</v>
      </c>
      <c r="H13" s="172" t="s">
        <v>298</v>
      </c>
      <c r="I13" s="172" t="s">
        <v>283</v>
      </c>
      <c r="J13" s="172" t="s">
        <v>284</v>
      </c>
      <c r="K13" s="173" t="s">
        <v>299</v>
      </c>
      <c r="L13" s="173">
        <v>750</v>
      </c>
      <c r="M13" s="173">
        <v>1</v>
      </c>
      <c r="N13" s="173" t="s">
        <v>286</v>
      </c>
    </row>
    <row r="14" spans="1:14" s="174" customFormat="1" ht="55.5" customHeight="1">
      <c r="A14" s="171">
        <v>40</v>
      </c>
      <c r="B14" s="171" t="s">
        <v>278</v>
      </c>
      <c r="C14" s="171">
        <v>4500110453</v>
      </c>
      <c r="D14" s="171">
        <v>7700252051</v>
      </c>
      <c r="E14" s="172" t="s">
        <v>279</v>
      </c>
      <c r="F14" s="172" t="s">
        <v>280</v>
      </c>
      <c r="G14" s="172" t="s">
        <v>281</v>
      </c>
      <c r="H14" s="172" t="s">
        <v>298</v>
      </c>
      <c r="I14" s="172" t="s">
        <v>283</v>
      </c>
      <c r="J14" s="172" t="s">
        <v>284</v>
      </c>
      <c r="K14" s="173" t="s">
        <v>300</v>
      </c>
      <c r="L14" s="173">
        <v>750</v>
      </c>
      <c r="M14" s="173">
        <v>1</v>
      </c>
      <c r="N14" s="173" t="s">
        <v>286</v>
      </c>
    </row>
    <row r="15" spans="1:14" s="174" customFormat="1" ht="55.5" customHeight="1">
      <c r="A15" s="171">
        <v>40</v>
      </c>
      <c r="B15" s="171" t="s">
        <v>278</v>
      </c>
      <c r="C15" s="171">
        <v>4500110453</v>
      </c>
      <c r="D15" s="171">
        <v>7700252051</v>
      </c>
      <c r="E15" s="172" t="s">
        <v>279</v>
      </c>
      <c r="F15" s="172" t="s">
        <v>280</v>
      </c>
      <c r="G15" s="172" t="s">
        <v>281</v>
      </c>
      <c r="H15" s="172" t="s">
        <v>298</v>
      </c>
      <c r="I15" s="172" t="s">
        <v>283</v>
      </c>
      <c r="J15" s="172" t="s">
        <v>284</v>
      </c>
      <c r="K15" s="173" t="s">
        <v>301</v>
      </c>
      <c r="L15" s="173">
        <v>750</v>
      </c>
      <c r="M15" s="173">
        <v>1</v>
      </c>
      <c r="N15" s="173" t="s">
        <v>286</v>
      </c>
    </row>
    <row r="16" spans="1:14" s="174" customFormat="1" ht="55.5" customHeight="1">
      <c r="A16" s="171">
        <v>40</v>
      </c>
      <c r="B16" s="171" t="s">
        <v>278</v>
      </c>
      <c r="C16" s="171">
        <v>4500110453</v>
      </c>
      <c r="D16" s="171">
        <v>7700252051</v>
      </c>
      <c r="E16" s="172" t="s">
        <v>279</v>
      </c>
      <c r="F16" s="172" t="s">
        <v>280</v>
      </c>
      <c r="G16" s="172" t="s">
        <v>281</v>
      </c>
      <c r="H16" s="172" t="s">
        <v>298</v>
      </c>
      <c r="I16" s="172" t="s">
        <v>283</v>
      </c>
      <c r="J16" s="172" t="s">
        <v>284</v>
      </c>
      <c r="K16" s="173" t="s">
        <v>302</v>
      </c>
      <c r="L16" s="173">
        <v>750</v>
      </c>
      <c r="M16" s="173">
        <v>1</v>
      </c>
      <c r="N16" s="173" t="s">
        <v>286</v>
      </c>
    </row>
    <row r="17" spans="1:14" s="174" customFormat="1" ht="55.5" customHeight="1">
      <c r="A17" s="171">
        <v>50</v>
      </c>
      <c r="B17" s="171" t="s">
        <v>278</v>
      </c>
      <c r="C17" s="171">
        <v>4500110453</v>
      </c>
      <c r="D17" s="171">
        <v>7700252071</v>
      </c>
      <c r="E17" s="172" t="s">
        <v>279</v>
      </c>
      <c r="F17" s="172" t="s">
        <v>303</v>
      </c>
      <c r="G17" s="172" t="s">
        <v>281</v>
      </c>
      <c r="H17" s="172" t="s">
        <v>298</v>
      </c>
      <c r="I17" s="172" t="s">
        <v>283</v>
      </c>
      <c r="J17" s="172" t="s">
        <v>284</v>
      </c>
      <c r="K17" s="172" t="s">
        <v>304</v>
      </c>
      <c r="L17" s="173">
        <v>750</v>
      </c>
      <c r="M17" s="173">
        <v>1</v>
      </c>
      <c r="N17" s="173" t="s">
        <v>286</v>
      </c>
    </row>
    <row r="18" spans="1:14" s="174" customFormat="1" ht="55.5" customHeight="1">
      <c r="A18" s="171">
        <v>50</v>
      </c>
      <c r="B18" s="171" t="s">
        <v>278</v>
      </c>
      <c r="C18" s="171">
        <v>4500110453</v>
      </c>
      <c r="D18" s="171">
        <v>7700252071</v>
      </c>
      <c r="E18" s="172" t="s">
        <v>279</v>
      </c>
      <c r="F18" s="172" t="s">
        <v>303</v>
      </c>
      <c r="G18" s="172" t="s">
        <v>281</v>
      </c>
      <c r="H18" s="172" t="s">
        <v>298</v>
      </c>
      <c r="I18" s="172" t="s">
        <v>283</v>
      </c>
      <c r="J18" s="172" t="s">
        <v>284</v>
      </c>
      <c r="K18" s="172" t="s">
        <v>305</v>
      </c>
      <c r="L18" s="173">
        <v>750</v>
      </c>
      <c r="M18" s="173">
        <v>1</v>
      </c>
      <c r="N18" s="173" t="s">
        <v>286</v>
      </c>
    </row>
    <row r="19" spans="1:14" s="174" customFormat="1" ht="55.5" customHeight="1">
      <c r="A19" s="171">
        <v>50</v>
      </c>
      <c r="B19" s="171" t="s">
        <v>278</v>
      </c>
      <c r="C19" s="171">
        <v>4500110453</v>
      </c>
      <c r="D19" s="171">
        <v>7700252071</v>
      </c>
      <c r="E19" s="172" t="s">
        <v>279</v>
      </c>
      <c r="F19" s="172" t="s">
        <v>303</v>
      </c>
      <c r="G19" s="172" t="s">
        <v>281</v>
      </c>
      <c r="H19" s="172" t="s">
        <v>298</v>
      </c>
      <c r="I19" s="172" t="s">
        <v>283</v>
      </c>
      <c r="J19" s="172" t="s">
        <v>284</v>
      </c>
      <c r="K19" s="172" t="s">
        <v>306</v>
      </c>
      <c r="L19" s="173">
        <v>750</v>
      </c>
      <c r="M19" s="173">
        <v>1</v>
      </c>
      <c r="N19" s="173" t="s">
        <v>286</v>
      </c>
    </row>
    <row r="20" spans="1:14" s="174" customFormat="1" ht="55.5" customHeight="1">
      <c r="A20" s="171">
        <v>50</v>
      </c>
      <c r="B20" s="171" t="s">
        <v>278</v>
      </c>
      <c r="C20" s="171">
        <v>4500110453</v>
      </c>
      <c r="D20" s="171">
        <v>7700252071</v>
      </c>
      <c r="E20" s="172" t="s">
        <v>279</v>
      </c>
      <c r="F20" s="172" t="s">
        <v>303</v>
      </c>
      <c r="G20" s="172" t="s">
        <v>281</v>
      </c>
      <c r="H20" s="172" t="s">
        <v>298</v>
      </c>
      <c r="I20" s="172" t="s">
        <v>283</v>
      </c>
      <c r="J20" s="172" t="s">
        <v>284</v>
      </c>
      <c r="K20" s="172" t="s">
        <v>307</v>
      </c>
      <c r="L20" s="173">
        <v>750</v>
      </c>
      <c r="M20" s="173">
        <v>1</v>
      </c>
      <c r="N20" s="173" t="s">
        <v>286</v>
      </c>
    </row>
    <row r="21" spans="1:14" s="174" customFormat="1" ht="55.5" customHeight="1">
      <c r="A21" s="171">
        <v>50</v>
      </c>
      <c r="B21" s="171" t="s">
        <v>278</v>
      </c>
      <c r="C21" s="171">
        <v>4500110453</v>
      </c>
      <c r="D21" s="171">
        <v>7700252071</v>
      </c>
      <c r="E21" s="172" t="s">
        <v>279</v>
      </c>
      <c r="F21" s="172" t="s">
        <v>303</v>
      </c>
      <c r="G21" s="172" t="s">
        <v>281</v>
      </c>
      <c r="H21" s="172" t="s">
        <v>298</v>
      </c>
      <c r="I21" s="172" t="s">
        <v>283</v>
      </c>
      <c r="J21" s="172" t="s">
        <v>284</v>
      </c>
      <c r="K21" s="172" t="s">
        <v>308</v>
      </c>
      <c r="L21" s="173">
        <v>750</v>
      </c>
      <c r="M21" s="173">
        <v>1</v>
      </c>
      <c r="N21" s="173" t="s">
        <v>286</v>
      </c>
    </row>
    <row r="22" spans="1:14" s="174" customFormat="1" ht="55.5" customHeight="1">
      <c r="A22" s="171">
        <v>50</v>
      </c>
      <c r="B22" s="171" t="s">
        <v>278</v>
      </c>
      <c r="C22" s="171">
        <v>4500110453</v>
      </c>
      <c r="D22" s="171">
        <v>7700252071</v>
      </c>
      <c r="E22" s="172" t="s">
        <v>279</v>
      </c>
      <c r="F22" s="172" t="s">
        <v>303</v>
      </c>
      <c r="G22" s="172" t="s">
        <v>281</v>
      </c>
      <c r="H22" s="172" t="s">
        <v>298</v>
      </c>
      <c r="I22" s="172" t="s">
        <v>283</v>
      </c>
      <c r="J22" s="172" t="s">
        <v>284</v>
      </c>
      <c r="K22" s="172" t="s">
        <v>309</v>
      </c>
      <c r="L22" s="173">
        <v>750</v>
      </c>
      <c r="M22" s="173">
        <v>1</v>
      </c>
      <c r="N22" s="173" t="s">
        <v>286</v>
      </c>
    </row>
    <row r="23" spans="1:14" s="174" customFormat="1" ht="55.5" customHeight="1">
      <c r="A23" s="171">
        <v>50</v>
      </c>
      <c r="B23" s="171" t="s">
        <v>278</v>
      </c>
      <c r="C23" s="171">
        <v>4500110453</v>
      </c>
      <c r="D23" s="171">
        <v>7700252071</v>
      </c>
      <c r="E23" s="172" t="s">
        <v>279</v>
      </c>
      <c r="F23" s="172" t="s">
        <v>303</v>
      </c>
      <c r="G23" s="172" t="s">
        <v>281</v>
      </c>
      <c r="H23" s="172" t="s">
        <v>298</v>
      </c>
      <c r="I23" s="172" t="s">
        <v>283</v>
      </c>
      <c r="J23" s="172" t="s">
        <v>284</v>
      </c>
      <c r="K23" s="172" t="s">
        <v>310</v>
      </c>
      <c r="L23" s="173">
        <v>750</v>
      </c>
      <c r="M23" s="173">
        <v>1</v>
      </c>
      <c r="N23" s="173" t="s">
        <v>286</v>
      </c>
    </row>
    <row r="24" spans="1:14" s="174" customFormat="1" ht="55.5" customHeight="1">
      <c r="A24" s="171">
        <v>60</v>
      </c>
      <c r="B24" s="171" t="s">
        <v>278</v>
      </c>
      <c r="C24" s="171">
        <v>4500110453</v>
      </c>
      <c r="D24" s="171">
        <v>7700252081</v>
      </c>
      <c r="E24" s="172" t="s">
        <v>279</v>
      </c>
      <c r="F24" s="172" t="s">
        <v>290</v>
      </c>
      <c r="G24" s="172" t="s">
        <v>281</v>
      </c>
      <c r="H24" s="172" t="s">
        <v>298</v>
      </c>
      <c r="I24" s="172" t="s">
        <v>283</v>
      </c>
      <c r="J24" s="172" t="s">
        <v>284</v>
      </c>
      <c r="K24" s="172" t="s">
        <v>311</v>
      </c>
      <c r="L24" s="172">
        <v>750</v>
      </c>
      <c r="M24" s="173">
        <v>1</v>
      </c>
      <c r="N24" s="173" t="s">
        <v>286</v>
      </c>
    </row>
    <row r="25" spans="1:14" s="174" customFormat="1" ht="55.5" customHeight="1">
      <c r="A25" s="171">
        <v>60</v>
      </c>
      <c r="B25" s="171" t="s">
        <v>278</v>
      </c>
      <c r="C25" s="171">
        <v>4500110453</v>
      </c>
      <c r="D25" s="171">
        <v>7700252081</v>
      </c>
      <c r="E25" s="172" t="s">
        <v>279</v>
      </c>
      <c r="F25" s="172" t="s">
        <v>290</v>
      </c>
      <c r="G25" s="172" t="s">
        <v>281</v>
      </c>
      <c r="H25" s="172" t="s">
        <v>298</v>
      </c>
      <c r="I25" s="172" t="s">
        <v>283</v>
      </c>
      <c r="J25" s="172" t="s">
        <v>284</v>
      </c>
      <c r="K25" s="172" t="s">
        <v>312</v>
      </c>
      <c r="L25" s="172">
        <v>750</v>
      </c>
      <c r="M25" s="173">
        <v>1</v>
      </c>
      <c r="N25" s="173" t="s">
        <v>286</v>
      </c>
    </row>
    <row r="26" spans="1:14" s="174" customFormat="1" ht="55.5" customHeight="1">
      <c r="A26" s="171">
        <v>60</v>
      </c>
      <c r="B26" s="171" t="s">
        <v>278</v>
      </c>
      <c r="C26" s="171">
        <v>4500110453</v>
      </c>
      <c r="D26" s="171">
        <v>7700252081</v>
      </c>
      <c r="E26" s="172" t="s">
        <v>279</v>
      </c>
      <c r="F26" s="172" t="s">
        <v>290</v>
      </c>
      <c r="G26" s="172" t="s">
        <v>281</v>
      </c>
      <c r="H26" s="172" t="s">
        <v>298</v>
      </c>
      <c r="I26" s="172" t="s">
        <v>283</v>
      </c>
      <c r="J26" s="172" t="s">
        <v>284</v>
      </c>
      <c r="K26" s="172" t="s">
        <v>313</v>
      </c>
      <c r="L26" s="172">
        <v>750</v>
      </c>
      <c r="M26" s="173">
        <v>1</v>
      </c>
      <c r="N26" s="173" t="s">
        <v>286</v>
      </c>
    </row>
    <row r="27" spans="1:14" s="174" customFormat="1" ht="55.5" customHeight="1">
      <c r="A27" s="171">
        <v>60</v>
      </c>
      <c r="B27" s="171" t="s">
        <v>278</v>
      </c>
      <c r="C27" s="171">
        <v>4500110453</v>
      </c>
      <c r="D27" s="171">
        <v>7700252081</v>
      </c>
      <c r="E27" s="172" t="s">
        <v>279</v>
      </c>
      <c r="F27" s="172" t="s">
        <v>290</v>
      </c>
      <c r="G27" s="172" t="s">
        <v>281</v>
      </c>
      <c r="H27" s="172" t="s">
        <v>298</v>
      </c>
      <c r="I27" s="172" t="s">
        <v>283</v>
      </c>
      <c r="J27" s="172" t="s">
        <v>284</v>
      </c>
      <c r="K27" s="172" t="s">
        <v>314</v>
      </c>
      <c r="L27" s="172">
        <v>750</v>
      </c>
      <c r="M27" s="173">
        <v>1</v>
      </c>
      <c r="N27" s="173" t="s">
        <v>286</v>
      </c>
    </row>
    <row r="28" spans="1:14" s="174" customFormat="1" ht="55.5" customHeight="1">
      <c r="A28" s="171">
        <v>70</v>
      </c>
      <c r="B28" s="171" t="s">
        <v>278</v>
      </c>
      <c r="C28" s="171">
        <v>4500110453</v>
      </c>
      <c r="D28" s="171">
        <v>7700253581</v>
      </c>
      <c r="E28" s="172" t="s">
        <v>279</v>
      </c>
      <c r="F28" s="172" t="s">
        <v>290</v>
      </c>
      <c r="G28" s="172" t="s">
        <v>281</v>
      </c>
      <c r="H28" s="172" t="s">
        <v>315</v>
      </c>
      <c r="I28" s="172" t="s">
        <v>283</v>
      </c>
      <c r="J28" s="172" t="s">
        <v>284</v>
      </c>
      <c r="K28" s="172" t="s">
        <v>316</v>
      </c>
      <c r="L28" s="172">
        <v>730</v>
      </c>
      <c r="M28" s="173">
        <v>1</v>
      </c>
      <c r="N28" s="173" t="s">
        <v>286</v>
      </c>
    </row>
    <row r="29" spans="1:14" s="174" customFormat="1" ht="55.5" customHeight="1">
      <c r="A29" s="171">
        <v>70</v>
      </c>
      <c r="B29" s="171" t="s">
        <v>278</v>
      </c>
      <c r="C29" s="171">
        <v>4500110453</v>
      </c>
      <c r="D29" s="171">
        <v>7700253581</v>
      </c>
      <c r="E29" s="172" t="s">
        <v>279</v>
      </c>
      <c r="F29" s="172" t="s">
        <v>290</v>
      </c>
      <c r="G29" s="172" t="s">
        <v>281</v>
      </c>
      <c r="H29" s="172" t="s">
        <v>315</v>
      </c>
      <c r="I29" s="172" t="s">
        <v>283</v>
      </c>
      <c r="J29" s="172" t="s">
        <v>284</v>
      </c>
      <c r="K29" s="172" t="s">
        <v>317</v>
      </c>
      <c r="L29" s="172">
        <v>730</v>
      </c>
      <c r="M29" s="173">
        <v>1</v>
      </c>
      <c r="N29" s="173" t="s">
        <v>286</v>
      </c>
    </row>
    <row r="30" spans="1:14" s="174" customFormat="1" ht="55.5" customHeight="1">
      <c r="A30" s="171">
        <v>80</v>
      </c>
      <c r="B30" s="171" t="s">
        <v>278</v>
      </c>
      <c r="C30" s="171">
        <v>4500110453</v>
      </c>
      <c r="D30" s="171">
        <v>7700312051</v>
      </c>
      <c r="E30" s="172" t="s">
        <v>279</v>
      </c>
      <c r="F30" s="172" t="s">
        <v>280</v>
      </c>
      <c r="G30" s="172" t="s">
        <v>281</v>
      </c>
      <c r="H30" s="172" t="s">
        <v>298</v>
      </c>
      <c r="I30" s="172" t="s">
        <v>283</v>
      </c>
      <c r="J30" s="172" t="s">
        <v>318</v>
      </c>
      <c r="K30" s="172" t="s">
        <v>319</v>
      </c>
      <c r="L30" s="172">
        <v>750</v>
      </c>
      <c r="M30" s="173">
        <v>1</v>
      </c>
      <c r="N30" s="173" t="str">
        <f>_xlfn.XLOOKUP(K30,'[1]From CDC site verification P1 '!D:D,'[1]From CDC site verification P1 '!E:E,0,0)</f>
        <v>13-4034-BV-0117</v>
      </c>
    </row>
    <row r="31" spans="1:14" s="174" customFormat="1" ht="55.5" customHeight="1">
      <c r="A31" s="171">
        <v>80</v>
      </c>
      <c r="B31" s="171" t="s">
        <v>278</v>
      </c>
      <c r="C31" s="171">
        <v>4500110453</v>
      </c>
      <c r="D31" s="171">
        <v>7700312051</v>
      </c>
      <c r="E31" s="172" t="s">
        <v>279</v>
      </c>
      <c r="F31" s="172" t="s">
        <v>280</v>
      </c>
      <c r="G31" s="172" t="s">
        <v>281</v>
      </c>
      <c r="H31" s="172" t="s">
        <v>298</v>
      </c>
      <c r="I31" s="172" t="s">
        <v>283</v>
      </c>
      <c r="J31" s="172" t="s">
        <v>318</v>
      </c>
      <c r="K31" s="172" t="s">
        <v>320</v>
      </c>
      <c r="L31" s="172">
        <v>750</v>
      </c>
      <c r="M31" s="173">
        <v>1</v>
      </c>
      <c r="N31" s="173" t="str">
        <f>_xlfn.XLOOKUP(K31,'[1]From CDC site verification P1 '!D:D,'[1]From CDC site verification P1 '!E:E,0,0)</f>
        <v>13-4034-BV-0161</v>
      </c>
    </row>
    <row r="32" spans="1:14" s="174" customFormat="1" ht="55.5" customHeight="1">
      <c r="A32" s="171">
        <v>80</v>
      </c>
      <c r="B32" s="171" t="s">
        <v>278</v>
      </c>
      <c r="C32" s="171">
        <v>4500110453</v>
      </c>
      <c r="D32" s="171">
        <v>7700312051</v>
      </c>
      <c r="E32" s="172" t="s">
        <v>279</v>
      </c>
      <c r="F32" s="172" t="s">
        <v>280</v>
      </c>
      <c r="G32" s="172" t="s">
        <v>281</v>
      </c>
      <c r="H32" s="172" t="s">
        <v>298</v>
      </c>
      <c r="I32" s="172" t="s">
        <v>283</v>
      </c>
      <c r="J32" s="172" t="s">
        <v>318</v>
      </c>
      <c r="K32" s="172" t="s">
        <v>321</v>
      </c>
      <c r="L32" s="172">
        <v>750</v>
      </c>
      <c r="M32" s="173">
        <v>1</v>
      </c>
      <c r="N32" s="173" t="s">
        <v>286</v>
      </c>
    </row>
    <row r="33" spans="1:14" s="174" customFormat="1" ht="55.5" customHeight="1">
      <c r="A33" s="171">
        <v>80</v>
      </c>
      <c r="B33" s="171" t="s">
        <v>278</v>
      </c>
      <c r="C33" s="171">
        <v>4500110453</v>
      </c>
      <c r="D33" s="171">
        <v>7700312051</v>
      </c>
      <c r="E33" s="172" t="s">
        <v>279</v>
      </c>
      <c r="F33" s="172" t="s">
        <v>280</v>
      </c>
      <c r="G33" s="172" t="s">
        <v>281</v>
      </c>
      <c r="H33" s="172" t="s">
        <v>298</v>
      </c>
      <c r="I33" s="172" t="s">
        <v>283</v>
      </c>
      <c r="J33" s="172" t="s">
        <v>318</v>
      </c>
      <c r="K33" s="172" t="s">
        <v>322</v>
      </c>
      <c r="L33" s="172">
        <v>750</v>
      </c>
      <c r="M33" s="173">
        <v>1</v>
      </c>
      <c r="N33" s="173" t="s">
        <v>286</v>
      </c>
    </row>
    <row r="34" spans="1:14" s="174" customFormat="1" ht="55.5" customHeight="1">
      <c r="A34" s="171">
        <v>80</v>
      </c>
      <c r="B34" s="171" t="s">
        <v>278</v>
      </c>
      <c r="C34" s="171">
        <v>4500110453</v>
      </c>
      <c r="D34" s="171">
        <v>7700312051</v>
      </c>
      <c r="E34" s="172" t="s">
        <v>279</v>
      </c>
      <c r="F34" s="172" t="s">
        <v>280</v>
      </c>
      <c r="G34" s="172" t="s">
        <v>281</v>
      </c>
      <c r="H34" s="172" t="s">
        <v>298</v>
      </c>
      <c r="I34" s="172" t="s">
        <v>283</v>
      </c>
      <c r="J34" s="172" t="s">
        <v>318</v>
      </c>
      <c r="K34" s="172" t="s">
        <v>323</v>
      </c>
      <c r="L34" s="172">
        <v>750</v>
      </c>
      <c r="M34" s="173">
        <v>1</v>
      </c>
      <c r="N34" s="173" t="s">
        <v>286</v>
      </c>
    </row>
    <row r="35" spans="1:14" s="174" customFormat="1" ht="55.5" customHeight="1">
      <c r="A35" s="171">
        <v>80</v>
      </c>
      <c r="B35" s="171" t="s">
        <v>278</v>
      </c>
      <c r="C35" s="171">
        <v>4500110453</v>
      </c>
      <c r="D35" s="171">
        <v>7700312051</v>
      </c>
      <c r="E35" s="172" t="s">
        <v>279</v>
      </c>
      <c r="F35" s="172" t="s">
        <v>280</v>
      </c>
      <c r="G35" s="172" t="s">
        <v>281</v>
      </c>
      <c r="H35" s="172" t="s">
        <v>298</v>
      </c>
      <c r="I35" s="172" t="s">
        <v>283</v>
      </c>
      <c r="J35" s="172" t="s">
        <v>318</v>
      </c>
      <c r="K35" s="172" t="s">
        <v>324</v>
      </c>
      <c r="L35" s="172">
        <v>750</v>
      </c>
      <c r="M35" s="173">
        <v>1</v>
      </c>
      <c r="N35" s="173" t="str">
        <f>_xlfn.XLOOKUP(K35,'[1]From CDC site verification P1 '!D:D,'[1]From CDC site verification P1 '!E:E,0,0)</f>
        <v>13-4034-BV-0008</v>
      </c>
    </row>
    <row r="36" spans="1:14" s="174" customFormat="1" ht="55.5" customHeight="1">
      <c r="A36" s="171">
        <v>80</v>
      </c>
      <c r="B36" s="171" t="s">
        <v>278</v>
      </c>
      <c r="C36" s="171">
        <v>4500110453</v>
      </c>
      <c r="D36" s="171">
        <v>7700312051</v>
      </c>
      <c r="E36" s="172" t="s">
        <v>279</v>
      </c>
      <c r="F36" s="172" t="s">
        <v>280</v>
      </c>
      <c r="G36" s="172" t="s">
        <v>281</v>
      </c>
      <c r="H36" s="172" t="s">
        <v>298</v>
      </c>
      <c r="I36" s="172" t="s">
        <v>283</v>
      </c>
      <c r="J36" s="172" t="s">
        <v>318</v>
      </c>
      <c r="K36" s="172" t="s">
        <v>325</v>
      </c>
      <c r="L36" s="172">
        <v>750</v>
      </c>
      <c r="M36" s="173">
        <v>1</v>
      </c>
      <c r="N36" s="173" t="s">
        <v>286</v>
      </c>
    </row>
    <row r="37" spans="1:14" s="174" customFormat="1" ht="55.5" customHeight="1">
      <c r="A37" s="171">
        <v>80</v>
      </c>
      <c r="B37" s="171" t="s">
        <v>278</v>
      </c>
      <c r="C37" s="171">
        <v>4500110453</v>
      </c>
      <c r="D37" s="171">
        <v>7700312051</v>
      </c>
      <c r="E37" s="172" t="s">
        <v>279</v>
      </c>
      <c r="F37" s="172" t="s">
        <v>280</v>
      </c>
      <c r="G37" s="172" t="s">
        <v>281</v>
      </c>
      <c r="H37" s="172" t="s">
        <v>298</v>
      </c>
      <c r="I37" s="172" t="s">
        <v>283</v>
      </c>
      <c r="J37" s="172" t="s">
        <v>318</v>
      </c>
      <c r="K37" s="172" t="s">
        <v>326</v>
      </c>
      <c r="L37" s="172">
        <v>750</v>
      </c>
      <c r="M37" s="173">
        <v>1</v>
      </c>
      <c r="N37" s="173" t="s">
        <v>286</v>
      </c>
    </row>
    <row r="38" spans="1:14" s="174" customFormat="1" ht="55.5" customHeight="1">
      <c r="A38" s="171">
        <v>80</v>
      </c>
      <c r="B38" s="171" t="s">
        <v>278</v>
      </c>
      <c r="C38" s="171">
        <v>4500110453</v>
      </c>
      <c r="D38" s="171">
        <v>7700312051</v>
      </c>
      <c r="E38" s="172" t="s">
        <v>279</v>
      </c>
      <c r="F38" s="172" t="s">
        <v>280</v>
      </c>
      <c r="G38" s="172" t="s">
        <v>281</v>
      </c>
      <c r="H38" s="172" t="s">
        <v>298</v>
      </c>
      <c r="I38" s="172" t="s">
        <v>283</v>
      </c>
      <c r="J38" s="172" t="s">
        <v>318</v>
      </c>
      <c r="K38" s="172" t="s">
        <v>327</v>
      </c>
      <c r="L38" s="172">
        <v>750</v>
      </c>
      <c r="M38" s="173">
        <v>1</v>
      </c>
      <c r="N38" s="173" t="s">
        <v>286</v>
      </c>
    </row>
    <row r="39" spans="1:14" s="174" customFormat="1" ht="55.5" customHeight="1">
      <c r="A39" s="171">
        <v>80</v>
      </c>
      <c r="B39" s="171" t="s">
        <v>278</v>
      </c>
      <c r="C39" s="171">
        <v>4500110453</v>
      </c>
      <c r="D39" s="171">
        <v>7700312051</v>
      </c>
      <c r="E39" s="172" t="s">
        <v>279</v>
      </c>
      <c r="F39" s="172" t="s">
        <v>280</v>
      </c>
      <c r="G39" s="172" t="s">
        <v>281</v>
      </c>
      <c r="H39" s="172" t="s">
        <v>298</v>
      </c>
      <c r="I39" s="172" t="s">
        <v>283</v>
      </c>
      <c r="J39" s="172" t="s">
        <v>318</v>
      </c>
      <c r="K39" s="172" t="s">
        <v>328</v>
      </c>
      <c r="L39" s="172">
        <v>750</v>
      </c>
      <c r="M39" s="173">
        <v>1</v>
      </c>
      <c r="N39" s="173" t="s">
        <v>286</v>
      </c>
    </row>
    <row r="40" spans="1:14" s="174" customFormat="1" ht="55.5" customHeight="1">
      <c r="A40" s="171">
        <v>80</v>
      </c>
      <c r="B40" s="171" t="s">
        <v>278</v>
      </c>
      <c r="C40" s="171">
        <v>4500110453</v>
      </c>
      <c r="D40" s="171">
        <v>7700312051</v>
      </c>
      <c r="E40" s="172" t="s">
        <v>279</v>
      </c>
      <c r="F40" s="172" t="s">
        <v>280</v>
      </c>
      <c r="G40" s="172" t="s">
        <v>281</v>
      </c>
      <c r="H40" s="172" t="s">
        <v>298</v>
      </c>
      <c r="I40" s="172" t="s">
        <v>283</v>
      </c>
      <c r="J40" s="172" t="s">
        <v>318</v>
      </c>
      <c r="K40" s="172" t="s">
        <v>329</v>
      </c>
      <c r="L40" s="172">
        <v>750</v>
      </c>
      <c r="M40" s="173">
        <v>1</v>
      </c>
      <c r="N40" s="173" t="s">
        <v>286</v>
      </c>
    </row>
    <row r="41" spans="1:14" s="174" customFormat="1" ht="55.5" customHeight="1">
      <c r="A41" s="171">
        <v>80</v>
      </c>
      <c r="B41" s="171" t="s">
        <v>278</v>
      </c>
      <c r="C41" s="171">
        <v>4500110453</v>
      </c>
      <c r="D41" s="171">
        <v>7700312051</v>
      </c>
      <c r="E41" s="172" t="s">
        <v>279</v>
      </c>
      <c r="F41" s="172" t="s">
        <v>280</v>
      </c>
      <c r="G41" s="172" t="s">
        <v>281</v>
      </c>
      <c r="H41" s="172" t="s">
        <v>298</v>
      </c>
      <c r="I41" s="172" t="s">
        <v>283</v>
      </c>
      <c r="J41" s="172" t="s">
        <v>318</v>
      </c>
      <c r="K41" s="172" t="s">
        <v>330</v>
      </c>
      <c r="L41" s="172">
        <v>750</v>
      </c>
      <c r="M41" s="173">
        <v>1</v>
      </c>
      <c r="N41" s="173" t="s">
        <v>286</v>
      </c>
    </row>
    <row r="42" spans="1:14" s="174" customFormat="1" ht="55.5" customHeight="1">
      <c r="A42" s="171">
        <v>80</v>
      </c>
      <c r="B42" s="171" t="s">
        <v>278</v>
      </c>
      <c r="C42" s="171">
        <v>4500110453</v>
      </c>
      <c r="D42" s="171">
        <v>7700312051</v>
      </c>
      <c r="E42" s="172" t="s">
        <v>279</v>
      </c>
      <c r="F42" s="172" t="s">
        <v>280</v>
      </c>
      <c r="G42" s="172" t="s">
        <v>281</v>
      </c>
      <c r="H42" s="172" t="s">
        <v>298</v>
      </c>
      <c r="I42" s="172" t="s">
        <v>283</v>
      </c>
      <c r="J42" s="172" t="s">
        <v>318</v>
      </c>
      <c r="K42" s="172" t="s">
        <v>331</v>
      </c>
      <c r="L42" s="172">
        <v>750</v>
      </c>
      <c r="M42" s="173">
        <v>1</v>
      </c>
      <c r="N42" s="173" t="s">
        <v>286</v>
      </c>
    </row>
    <row r="43" spans="1:14" s="174" customFormat="1" ht="55.5" customHeight="1">
      <c r="A43" s="171">
        <v>80</v>
      </c>
      <c r="B43" s="171" t="s">
        <v>278</v>
      </c>
      <c r="C43" s="171">
        <v>4500110453</v>
      </c>
      <c r="D43" s="171">
        <v>7700312051</v>
      </c>
      <c r="E43" s="172" t="s">
        <v>279</v>
      </c>
      <c r="F43" s="172" t="s">
        <v>280</v>
      </c>
      <c r="G43" s="172" t="s">
        <v>281</v>
      </c>
      <c r="H43" s="172" t="s">
        <v>298</v>
      </c>
      <c r="I43" s="172" t="s">
        <v>283</v>
      </c>
      <c r="J43" s="172" t="s">
        <v>318</v>
      </c>
      <c r="K43" s="172" t="s">
        <v>332</v>
      </c>
      <c r="L43" s="172">
        <v>750</v>
      </c>
      <c r="M43" s="173">
        <v>1</v>
      </c>
      <c r="N43" s="173" t="s">
        <v>286</v>
      </c>
    </row>
    <row r="44" spans="1:14" s="174" customFormat="1" ht="55.5" customHeight="1">
      <c r="A44" s="171">
        <v>80</v>
      </c>
      <c r="B44" s="171" t="s">
        <v>278</v>
      </c>
      <c r="C44" s="171">
        <v>4500110453</v>
      </c>
      <c r="D44" s="171">
        <v>7700312051</v>
      </c>
      <c r="E44" s="172" t="s">
        <v>279</v>
      </c>
      <c r="F44" s="172" t="s">
        <v>280</v>
      </c>
      <c r="G44" s="172" t="s">
        <v>281</v>
      </c>
      <c r="H44" s="172" t="s">
        <v>298</v>
      </c>
      <c r="I44" s="172" t="s">
        <v>283</v>
      </c>
      <c r="J44" s="172" t="s">
        <v>318</v>
      </c>
      <c r="K44" s="172" t="s">
        <v>333</v>
      </c>
      <c r="L44" s="172">
        <v>750</v>
      </c>
      <c r="M44" s="173">
        <v>1</v>
      </c>
      <c r="N44" s="173" t="s">
        <v>286</v>
      </c>
    </row>
    <row r="45" spans="1:14" s="174" customFormat="1" ht="55.5" customHeight="1">
      <c r="A45" s="171">
        <v>80</v>
      </c>
      <c r="B45" s="171" t="s">
        <v>278</v>
      </c>
      <c r="C45" s="171">
        <v>4500110453</v>
      </c>
      <c r="D45" s="171">
        <v>7700312051</v>
      </c>
      <c r="E45" s="172" t="s">
        <v>279</v>
      </c>
      <c r="F45" s="172" t="s">
        <v>280</v>
      </c>
      <c r="G45" s="172" t="s">
        <v>281</v>
      </c>
      <c r="H45" s="172" t="s">
        <v>298</v>
      </c>
      <c r="I45" s="172" t="s">
        <v>283</v>
      </c>
      <c r="J45" s="172" t="s">
        <v>318</v>
      </c>
      <c r="K45" s="172" t="s">
        <v>334</v>
      </c>
      <c r="L45" s="172">
        <v>750</v>
      </c>
      <c r="M45" s="173">
        <v>1</v>
      </c>
      <c r="N45" s="173" t="s">
        <v>286</v>
      </c>
    </row>
    <row r="46" spans="1:14" s="174" customFormat="1" ht="55.5" customHeight="1">
      <c r="A46" s="171">
        <v>80</v>
      </c>
      <c r="B46" s="171" t="s">
        <v>278</v>
      </c>
      <c r="C46" s="171">
        <v>4500110453</v>
      </c>
      <c r="D46" s="171">
        <v>7700312051</v>
      </c>
      <c r="E46" s="172" t="s">
        <v>279</v>
      </c>
      <c r="F46" s="172" t="s">
        <v>280</v>
      </c>
      <c r="G46" s="172" t="s">
        <v>281</v>
      </c>
      <c r="H46" s="172" t="s">
        <v>298</v>
      </c>
      <c r="I46" s="172" t="s">
        <v>283</v>
      </c>
      <c r="J46" s="172" t="s">
        <v>318</v>
      </c>
      <c r="K46" s="172" t="s">
        <v>335</v>
      </c>
      <c r="L46" s="172">
        <v>750</v>
      </c>
      <c r="M46" s="173">
        <v>1</v>
      </c>
      <c r="N46" s="173" t="s">
        <v>286</v>
      </c>
    </row>
    <row r="47" spans="1:14" s="174" customFormat="1" ht="55.5" customHeight="1">
      <c r="A47" s="171">
        <v>80</v>
      </c>
      <c r="B47" s="171" t="s">
        <v>278</v>
      </c>
      <c r="C47" s="171">
        <v>4500110453</v>
      </c>
      <c r="D47" s="171">
        <v>7700312051</v>
      </c>
      <c r="E47" s="172" t="s">
        <v>279</v>
      </c>
      <c r="F47" s="172" t="s">
        <v>280</v>
      </c>
      <c r="G47" s="172" t="s">
        <v>281</v>
      </c>
      <c r="H47" s="172" t="s">
        <v>298</v>
      </c>
      <c r="I47" s="172" t="s">
        <v>283</v>
      </c>
      <c r="J47" s="172" t="s">
        <v>318</v>
      </c>
      <c r="K47" s="172" t="s">
        <v>336</v>
      </c>
      <c r="L47" s="172">
        <v>750</v>
      </c>
      <c r="M47" s="173">
        <v>1</v>
      </c>
      <c r="N47" s="173" t="s">
        <v>286</v>
      </c>
    </row>
    <row r="48" spans="1:14" s="174" customFormat="1" ht="55.5" customHeight="1">
      <c r="A48" s="171">
        <v>80</v>
      </c>
      <c r="B48" s="171" t="s">
        <v>278</v>
      </c>
      <c r="C48" s="171">
        <v>4500110453</v>
      </c>
      <c r="D48" s="171">
        <v>7700312051</v>
      </c>
      <c r="E48" s="172" t="s">
        <v>279</v>
      </c>
      <c r="F48" s="172" t="s">
        <v>280</v>
      </c>
      <c r="G48" s="172" t="s">
        <v>281</v>
      </c>
      <c r="H48" s="172" t="s">
        <v>298</v>
      </c>
      <c r="I48" s="172" t="s">
        <v>283</v>
      </c>
      <c r="J48" s="172" t="s">
        <v>318</v>
      </c>
      <c r="K48" s="172" t="s">
        <v>337</v>
      </c>
      <c r="L48" s="172">
        <v>750</v>
      </c>
      <c r="M48" s="173">
        <v>1</v>
      </c>
      <c r="N48" s="173" t="s">
        <v>286</v>
      </c>
    </row>
    <row r="49" spans="1:14" s="174" customFormat="1" ht="55.5" customHeight="1">
      <c r="A49" s="171">
        <v>80</v>
      </c>
      <c r="B49" s="171" t="s">
        <v>278</v>
      </c>
      <c r="C49" s="171">
        <v>4500110453</v>
      </c>
      <c r="D49" s="171">
        <v>7700312051</v>
      </c>
      <c r="E49" s="172" t="s">
        <v>279</v>
      </c>
      <c r="F49" s="172" t="s">
        <v>280</v>
      </c>
      <c r="G49" s="172" t="s">
        <v>281</v>
      </c>
      <c r="H49" s="172" t="s">
        <v>298</v>
      </c>
      <c r="I49" s="172" t="s">
        <v>283</v>
      </c>
      <c r="J49" s="172" t="s">
        <v>318</v>
      </c>
      <c r="K49" s="172" t="s">
        <v>338</v>
      </c>
      <c r="L49" s="172">
        <v>750</v>
      </c>
      <c r="M49" s="173">
        <v>1</v>
      </c>
      <c r="N49" s="173" t="s">
        <v>286</v>
      </c>
    </row>
    <row r="50" spans="1:14" s="174" customFormat="1" ht="55.5" customHeight="1">
      <c r="A50" s="171">
        <v>80</v>
      </c>
      <c r="B50" s="171" t="s">
        <v>278</v>
      </c>
      <c r="C50" s="171">
        <v>4500110453</v>
      </c>
      <c r="D50" s="171">
        <v>7700312051</v>
      </c>
      <c r="E50" s="172" t="s">
        <v>279</v>
      </c>
      <c r="F50" s="172" t="s">
        <v>280</v>
      </c>
      <c r="G50" s="172" t="s">
        <v>281</v>
      </c>
      <c r="H50" s="172" t="s">
        <v>298</v>
      </c>
      <c r="I50" s="172" t="s">
        <v>283</v>
      </c>
      <c r="J50" s="172" t="s">
        <v>318</v>
      </c>
      <c r="K50" s="172" t="s">
        <v>339</v>
      </c>
      <c r="L50" s="172">
        <v>750</v>
      </c>
      <c r="M50" s="173">
        <v>1</v>
      </c>
      <c r="N50" s="173" t="str">
        <f>_xlfn.XLOOKUP(K50,'[1]From CDC site verification P1 '!D:D,'[1]From CDC site verification P1 '!E:E,0,0)</f>
        <v>13-4034-BV-0159</v>
      </c>
    </row>
    <row r="51" spans="1:14" s="174" customFormat="1" ht="55.5" customHeight="1">
      <c r="A51" s="171">
        <v>80</v>
      </c>
      <c r="B51" s="171" t="s">
        <v>278</v>
      </c>
      <c r="C51" s="171">
        <v>4500110453</v>
      </c>
      <c r="D51" s="171">
        <v>7700312051</v>
      </c>
      <c r="E51" s="172" t="s">
        <v>279</v>
      </c>
      <c r="F51" s="172" t="s">
        <v>280</v>
      </c>
      <c r="G51" s="172" t="s">
        <v>281</v>
      </c>
      <c r="H51" s="172" t="s">
        <v>298</v>
      </c>
      <c r="I51" s="172" t="s">
        <v>283</v>
      </c>
      <c r="J51" s="172" t="s">
        <v>318</v>
      </c>
      <c r="K51" s="172" t="s">
        <v>340</v>
      </c>
      <c r="L51" s="172">
        <v>750</v>
      </c>
      <c r="M51" s="173">
        <v>1</v>
      </c>
      <c r="N51" s="173" t="str">
        <f>_xlfn.XLOOKUP(K51,'[1]From CDC site verification P1 '!D:D,'[1]From CDC site verification P1 '!E:E,0,0)</f>
        <v>13-4034-BV-0064</v>
      </c>
    </row>
    <row r="52" spans="1:14" s="174" customFormat="1" ht="55.5" customHeight="1">
      <c r="A52" s="171">
        <v>80</v>
      </c>
      <c r="B52" s="171" t="s">
        <v>278</v>
      </c>
      <c r="C52" s="171">
        <v>4500110453</v>
      </c>
      <c r="D52" s="171">
        <v>7700312051</v>
      </c>
      <c r="E52" s="172" t="s">
        <v>279</v>
      </c>
      <c r="F52" s="172" t="s">
        <v>280</v>
      </c>
      <c r="G52" s="172" t="s">
        <v>281</v>
      </c>
      <c r="H52" s="172" t="s">
        <v>298</v>
      </c>
      <c r="I52" s="172" t="s">
        <v>283</v>
      </c>
      <c r="J52" s="172" t="s">
        <v>318</v>
      </c>
      <c r="K52" s="172" t="s">
        <v>341</v>
      </c>
      <c r="L52" s="172">
        <v>750</v>
      </c>
      <c r="M52" s="173">
        <v>1</v>
      </c>
      <c r="N52" s="173" t="s">
        <v>286</v>
      </c>
    </row>
    <row r="53" spans="1:14" s="174" customFormat="1" ht="55.5" customHeight="1">
      <c r="A53" s="171">
        <v>80</v>
      </c>
      <c r="B53" s="171" t="s">
        <v>278</v>
      </c>
      <c r="C53" s="171">
        <v>4500110453</v>
      </c>
      <c r="D53" s="171">
        <v>7700312051</v>
      </c>
      <c r="E53" s="172" t="s">
        <v>279</v>
      </c>
      <c r="F53" s="172" t="s">
        <v>280</v>
      </c>
      <c r="G53" s="172" t="s">
        <v>281</v>
      </c>
      <c r="H53" s="172" t="s">
        <v>298</v>
      </c>
      <c r="I53" s="172" t="s">
        <v>283</v>
      </c>
      <c r="J53" s="172" t="s">
        <v>318</v>
      </c>
      <c r="K53" s="172" t="s">
        <v>342</v>
      </c>
      <c r="L53" s="172">
        <v>750</v>
      </c>
      <c r="M53" s="173">
        <v>1</v>
      </c>
      <c r="N53" s="173" t="str">
        <f>_xlfn.XLOOKUP(K53,'[1]From CDC site verification P1 '!D:D,'[1]From CDC site verification P1 '!E:E,0,0)</f>
        <v>13-4034-BV-0009</v>
      </c>
    </row>
    <row r="54" spans="1:14" s="174" customFormat="1" ht="55.5" customHeight="1">
      <c r="A54" s="171">
        <v>80</v>
      </c>
      <c r="B54" s="171" t="s">
        <v>278</v>
      </c>
      <c r="C54" s="171">
        <v>4500110453</v>
      </c>
      <c r="D54" s="171">
        <v>7700312051</v>
      </c>
      <c r="E54" s="172" t="s">
        <v>279</v>
      </c>
      <c r="F54" s="172" t="s">
        <v>280</v>
      </c>
      <c r="G54" s="172" t="s">
        <v>281</v>
      </c>
      <c r="H54" s="172" t="s">
        <v>298</v>
      </c>
      <c r="I54" s="172" t="s">
        <v>283</v>
      </c>
      <c r="J54" s="172" t="s">
        <v>318</v>
      </c>
      <c r="K54" s="172" t="s">
        <v>343</v>
      </c>
      <c r="L54" s="172">
        <v>750</v>
      </c>
      <c r="M54" s="173">
        <v>1</v>
      </c>
      <c r="N54" s="173" t="str">
        <f>_xlfn.XLOOKUP(K54,'[1]From CDC site verification P1 '!D:D,'[1]From CDC site verification P1 '!E:E,0,0)</f>
        <v>13-4034-BV-0022</v>
      </c>
    </row>
    <row r="55" spans="1:14" s="174" customFormat="1" ht="55.5" customHeight="1">
      <c r="A55" s="171">
        <v>80</v>
      </c>
      <c r="B55" s="171" t="s">
        <v>278</v>
      </c>
      <c r="C55" s="171">
        <v>4500110453</v>
      </c>
      <c r="D55" s="171">
        <v>7700312051</v>
      </c>
      <c r="E55" s="172" t="s">
        <v>279</v>
      </c>
      <c r="F55" s="172" t="s">
        <v>280</v>
      </c>
      <c r="G55" s="172" t="s">
        <v>281</v>
      </c>
      <c r="H55" s="172" t="s">
        <v>298</v>
      </c>
      <c r="I55" s="172" t="s">
        <v>283</v>
      </c>
      <c r="J55" s="172" t="s">
        <v>318</v>
      </c>
      <c r="K55" s="172" t="s">
        <v>344</v>
      </c>
      <c r="L55" s="172">
        <v>750</v>
      </c>
      <c r="M55" s="173">
        <v>1</v>
      </c>
      <c r="N55" s="173" t="str">
        <f>_xlfn.XLOOKUP(K55,'[1]From CDC site verification P1 '!D:D,'[1]From CDC site verification P1 '!E:E,0,0)</f>
        <v>13-4034-BV-0063</v>
      </c>
    </row>
    <row r="56" spans="1:14" s="174" customFormat="1" ht="55.5" customHeight="1">
      <c r="A56" s="171">
        <v>80</v>
      </c>
      <c r="B56" s="171" t="s">
        <v>278</v>
      </c>
      <c r="C56" s="171">
        <v>4500110453</v>
      </c>
      <c r="D56" s="171">
        <v>7700312051</v>
      </c>
      <c r="E56" s="172" t="s">
        <v>279</v>
      </c>
      <c r="F56" s="172" t="s">
        <v>280</v>
      </c>
      <c r="G56" s="172" t="s">
        <v>281</v>
      </c>
      <c r="H56" s="172" t="s">
        <v>298</v>
      </c>
      <c r="I56" s="172" t="s">
        <v>283</v>
      </c>
      <c r="J56" s="172" t="s">
        <v>318</v>
      </c>
      <c r="K56" s="172" t="s">
        <v>345</v>
      </c>
      <c r="L56" s="172">
        <v>750</v>
      </c>
      <c r="M56" s="173">
        <v>1</v>
      </c>
      <c r="N56" s="173" t="str">
        <f>_xlfn.XLOOKUP(K56,'[1]From CDC site verification P1 '!D:D,'[1]From CDC site verification P1 '!E:E,0,0)</f>
        <v>13-4034-BV-0147</v>
      </c>
    </row>
    <row r="57" spans="1:14" s="174" customFormat="1" ht="55.5" customHeight="1">
      <c r="A57" s="171">
        <v>80</v>
      </c>
      <c r="B57" s="171" t="s">
        <v>278</v>
      </c>
      <c r="C57" s="171">
        <v>4500110453</v>
      </c>
      <c r="D57" s="171">
        <v>7700312051</v>
      </c>
      <c r="E57" s="172" t="s">
        <v>279</v>
      </c>
      <c r="F57" s="172" t="s">
        <v>280</v>
      </c>
      <c r="G57" s="172" t="s">
        <v>281</v>
      </c>
      <c r="H57" s="172" t="s">
        <v>298</v>
      </c>
      <c r="I57" s="172" t="s">
        <v>283</v>
      </c>
      <c r="J57" s="172" t="s">
        <v>318</v>
      </c>
      <c r="K57" s="172" t="s">
        <v>346</v>
      </c>
      <c r="L57" s="172">
        <v>750</v>
      </c>
      <c r="M57" s="173">
        <v>1</v>
      </c>
      <c r="N57" s="173" t="s">
        <v>286</v>
      </c>
    </row>
    <row r="58" spans="1:14" s="174" customFormat="1" ht="55.5" customHeight="1">
      <c r="A58" s="171">
        <v>80</v>
      </c>
      <c r="B58" s="171" t="s">
        <v>278</v>
      </c>
      <c r="C58" s="171">
        <v>4500110453</v>
      </c>
      <c r="D58" s="171">
        <v>7700312051</v>
      </c>
      <c r="E58" s="172" t="s">
        <v>279</v>
      </c>
      <c r="F58" s="172" t="s">
        <v>280</v>
      </c>
      <c r="G58" s="172" t="s">
        <v>281</v>
      </c>
      <c r="H58" s="172" t="s">
        <v>298</v>
      </c>
      <c r="I58" s="172" t="s">
        <v>283</v>
      </c>
      <c r="J58" s="172" t="s">
        <v>318</v>
      </c>
      <c r="K58" s="172" t="s">
        <v>347</v>
      </c>
      <c r="L58" s="172">
        <v>750</v>
      </c>
      <c r="M58" s="173">
        <v>1</v>
      </c>
      <c r="N58" s="173" t="str">
        <f>_xlfn.XLOOKUP(K58,'[1]From CDC site verification P1 '!D:D,'[1]From CDC site verification P1 '!E:E,0,0)</f>
        <v>13-4034-BV-0160</v>
      </c>
    </row>
    <row r="59" spans="1:14" s="174" customFormat="1" ht="55.5" customHeight="1">
      <c r="A59" s="171">
        <v>80</v>
      </c>
      <c r="B59" s="171" t="s">
        <v>278</v>
      </c>
      <c r="C59" s="171">
        <v>4500110453</v>
      </c>
      <c r="D59" s="171">
        <v>7700312051</v>
      </c>
      <c r="E59" s="172" t="s">
        <v>279</v>
      </c>
      <c r="F59" s="172" t="s">
        <v>280</v>
      </c>
      <c r="G59" s="172" t="s">
        <v>281</v>
      </c>
      <c r="H59" s="172" t="s">
        <v>298</v>
      </c>
      <c r="I59" s="172" t="s">
        <v>283</v>
      </c>
      <c r="J59" s="172" t="s">
        <v>318</v>
      </c>
      <c r="K59" s="172" t="s">
        <v>348</v>
      </c>
      <c r="L59" s="172">
        <v>750</v>
      </c>
      <c r="M59" s="173">
        <v>1</v>
      </c>
      <c r="N59" s="173" t="str">
        <f>_xlfn.XLOOKUP(K59,'[1]From CDC site verification P1 '!D:D,'[1]From CDC site verification P1 '!E:E,0,0)</f>
        <v>13-4034-BV-0035</v>
      </c>
    </row>
    <row r="60" spans="1:14" s="174" customFormat="1" ht="55.5" customHeight="1">
      <c r="A60" s="171">
        <v>80</v>
      </c>
      <c r="B60" s="171" t="s">
        <v>278</v>
      </c>
      <c r="C60" s="171">
        <v>4500110453</v>
      </c>
      <c r="D60" s="171">
        <v>7700312051</v>
      </c>
      <c r="E60" s="172" t="s">
        <v>279</v>
      </c>
      <c r="F60" s="172" t="s">
        <v>280</v>
      </c>
      <c r="G60" s="172" t="s">
        <v>281</v>
      </c>
      <c r="H60" s="172" t="s">
        <v>298</v>
      </c>
      <c r="I60" s="172" t="s">
        <v>283</v>
      </c>
      <c r="J60" s="172" t="s">
        <v>318</v>
      </c>
      <c r="K60" s="172" t="s">
        <v>349</v>
      </c>
      <c r="L60" s="172">
        <v>750</v>
      </c>
      <c r="M60" s="173">
        <v>1</v>
      </c>
      <c r="N60" s="173" t="str">
        <f>_xlfn.XLOOKUP(K60,'[1]From CDC site verification P1 '!D:D,'[1]From CDC site verification P1 '!E:E,0,0)</f>
        <v>13-4034-BV-0077</v>
      </c>
    </row>
    <row r="61" spans="1:14" s="174" customFormat="1" ht="55.5" customHeight="1">
      <c r="A61" s="171">
        <v>80</v>
      </c>
      <c r="B61" s="171" t="s">
        <v>278</v>
      </c>
      <c r="C61" s="171">
        <v>4500110453</v>
      </c>
      <c r="D61" s="171">
        <v>7700312051</v>
      </c>
      <c r="E61" s="172" t="s">
        <v>279</v>
      </c>
      <c r="F61" s="172" t="s">
        <v>280</v>
      </c>
      <c r="G61" s="172" t="s">
        <v>281</v>
      </c>
      <c r="H61" s="172" t="s">
        <v>298</v>
      </c>
      <c r="I61" s="172" t="s">
        <v>283</v>
      </c>
      <c r="J61" s="172" t="s">
        <v>318</v>
      </c>
      <c r="K61" s="172" t="s">
        <v>350</v>
      </c>
      <c r="L61" s="172">
        <v>750</v>
      </c>
      <c r="M61" s="173">
        <v>1</v>
      </c>
      <c r="N61" s="173" t="str">
        <f>_xlfn.XLOOKUP(K61,'[1]From CDC site verification P1 '!D:D,'[1]From CDC site verification P1 '!E:E,0,0)</f>
        <v>13-4034-BV-0132</v>
      </c>
    </row>
    <row r="62" spans="1:14" s="174" customFormat="1" ht="55.5" customHeight="1">
      <c r="A62" s="171">
        <v>80</v>
      </c>
      <c r="B62" s="171" t="s">
        <v>278</v>
      </c>
      <c r="C62" s="171">
        <v>4500110453</v>
      </c>
      <c r="D62" s="171">
        <v>7700312051</v>
      </c>
      <c r="E62" s="172" t="s">
        <v>279</v>
      </c>
      <c r="F62" s="172" t="s">
        <v>280</v>
      </c>
      <c r="G62" s="172" t="s">
        <v>281</v>
      </c>
      <c r="H62" s="172" t="s">
        <v>298</v>
      </c>
      <c r="I62" s="172" t="s">
        <v>283</v>
      </c>
      <c r="J62" s="172" t="s">
        <v>318</v>
      </c>
      <c r="K62" s="172" t="s">
        <v>351</v>
      </c>
      <c r="L62" s="172">
        <v>750</v>
      </c>
      <c r="M62" s="173">
        <v>1</v>
      </c>
      <c r="N62" s="173" t="s">
        <v>286</v>
      </c>
    </row>
    <row r="63" spans="1:14" s="174" customFormat="1" ht="55.5" customHeight="1">
      <c r="A63" s="171">
        <v>80</v>
      </c>
      <c r="B63" s="171" t="s">
        <v>278</v>
      </c>
      <c r="C63" s="171">
        <v>4500110453</v>
      </c>
      <c r="D63" s="171">
        <v>7700312051</v>
      </c>
      <c r="E63" s="172" t="s">
        <v>279</v>
      </c>
      <c r="F63" s="172" t="s">
        <v>280</v>
      </c>
      <c r="G63" s="172" t="s">
        <v>281</v>
      </c>
      <c r="H63" s="172" t="s">
        <v>298</v>
      </c>
      <c r="I63" s="172" t="s">
        <v>283</v>
      </c>
      <c r="J63" s="172" t="s">
        <v>318</v>
      </c>
      <c r="K63" s="172" t="s">
        <v>352</v>
      </c>
      <c r="L63" s="172">
        <v>750</v>
      </c>
      <c r="M63" s="173">
        <v>1</v>
      </c>
      <c r="N63" s="173" t="str">
        <f>_xlfn.XLOOKUP(K63,'[1]From CDC site verification P1 '!D:D,'[1]From CDC site verification P1 '!E:E,0,0)</f>
        <v>13-4034-BV-0174</v>
      </c>
    </row>
    <row r="64" spans="1:14" s="174" customFormat="1" ht="55.5" customHeight="1">
      <c r="A64" s="171">
        <v>80</v>
      </c>
      <c r="B64" s="171" t="s">
        <v>278</v>
      </c>
      <c r="C64" s="171">
        <v>4500110453</v>
      </c>
      <c r="D64" s="171">
        <v>7700312051</v>
      </c>
      <c r="E64" s="172" t="s">
        <v>279</v>
      </c>
      <c r="F64" s="172" t="s">
        <v>280</v>
      </c>
      <c r="G64" s="172" t="s">
        <v>281</v>
      </c>
      <c r="H64" s="172" t="s">
        <v>298</v>
      </c>
      <c r="I64" s="172" t="s">
        <v>283</v>
      </c>
      <c r="J64" s="172" t="s">
        <v>318</v>
      </c>
      <c r="K64" s="172" t="s">
        <v>353</v>
      </c>
      <c r="L64" s="172">
        <v>750</v>
      </c>
      <c r="M64" s="173">
        <v>1</v>
      </c>
      <c r="N64" s="173" t="s">
        <v>286</v>
      </c>
    </row>
    <row r="65" spans="1:14" s="174" customFormat="1" ht="55.5" customHeight="1">
      <c r="A65" s="171">
        <v>80</v>
      </c>
      <c r="B65" s="171" t="s">
        <v>278</v>
      </c>
      <c r="C65" s="171">
        <v>4500110453</v>
      </c>
      <c r="D65" s="171">
        <v>7700312051</v>
      </c>
      <c r="E65" s="172" t="s">
        <v>279</v>
      </c>
      <c r="F65" s="172" t="s">
        <v>280</v>
      </c>
      <c r="G65" s="172" t="s">
        <v>281</v>
      </c>
      <c r="H65" s="172" t="s">
        <v>298</v>
      </c>
      <c r="I65" s="172" t="s">
        <v>283</v>
      </c>
      <c r="J65" s="172" t="s">
        <v>318</v>
      </c>
      <c r="K65" s="172" t="s">
        <v>354</v>
      </c>
      <c r="L65" s="172">
        <v>750</v>
      </c>
      <c r="M65" s="173">
        <v>1</v>
      </c>
      <c r="N65" s="173" t="str">
        <f>_xlfn.XLOOKUP(K65,'[1]From CDC site verification P1 '!D:D,'[1]From CDC site verification P1 '!E:E,0,0)</f>
        <v>13-4034-BV-0119</v>
      </c>
    </row>
    <row r="66" spans="1:14" s="174" customFormat="1" ht="55.5" customHeight="1">
      <c r="A66" s="171">
        <v>80</v>
      </c>
      <c r="B66" s="171" t="s">
        <v>278</v>
      </c>
      <c r="C66" s="171">
        <v>4500110453</v>
      </c>
      <c r="D66" s="171">
        <v>7700312051</v>
      </c>
      <c r="E66" s="172" t="s">
        <v>279</v>
      </c>
      <c r="F66" s="172" t="s">
        <v>280</v>
      </c>
      <c r="G66" s="172" t="s">
        <v>281</v>
      </c>
      <c r="H66" s="172" t="s">
        <v>298</v>
      </c>
      <c r="I66" s="172" t="s">
        <v>283</v>
      </c>
      <c r="J66" s="172" t="s">
        <v>318</v>
      </c>
      <c r="K66" s="172" t="s">
        <v>355</v>
      </c>
      <c r="L66" s="172">
        <v>750</v>
      </c>
      <c r="M66" s="173">
        <v>1</v>
      </c>
      <c r="N66" s="173" t="s">
        <v>286</v>
      </c>
    </row>
    <row r="67" spans="1:14" s="174" customFormat="1" ht="55.5" customHeight="1">
      <c r="A67" s="171">
        <v>80</v>
      </c>
      <c r="B67" s="171" t="s">
        <v>278</v>
      </c>
      <c r="C67" s="171">
        <v>4500110453</v>
      </c>
      <c r="D67" s="171">
        <v>7700312051</v>
      </c>
      <c r="E67" s="172" t="s">
        <v>279</v>
      </c>
      <c r="F67" s="172" t="s">
        <v>280</v>
      </c>
      <c r="G67" s="172" t="s">
        <v>281</v>
      </c>
      <c r="H67" s="172" t="s">
        <v>298</v>
      </c>
      <c r="I67" s="172" t="s">
        <v>283</v>
      </c>
      <c r="J67" s="172" t="s">
        <v>318</v>
      </c>
      <c r="K67" s="172" t="s">
        <v>356</v>
      </c>
      <c r="L67" s="172">
        <v>750</v>
      </c>
      <c r="M67" s="173">
        <v>1</v>
      </c>
      <c r="N67" s="173" t="str">
        <f>_xlfn.XLOOKUP(K67,'[1]From CDC site verification P1 '!D:D,'[1]From CDC site verification P1 '!E:E,0,0)</f>
        <v>13-4034-BV-0007</v>
      </c>
    </row>
    <row r="68" spans="1:14" s="174" customFormat="1" ht="55.5" customHeight="1">
      <c r="A68" s="171">
        <v>80</v>
      </c>
      <c r="B68" s="171" t="s">
        <v>278</v>
      </c>
      <c r="C68" s="171">
        <v>4500110453</v>
      </c>
      <c r="D68" s="171">
        <v>7700312051</v>
      </c>
      <c r="E68" s="172" t="s">
        <v>279</v>
      </c>
      <c r="F68" s="172" t="s">
        <v>280</v>
      </c>
      <c r="G68" s="172" t="s">
        <v>281</v>
      </c>
      <c r="H68" s="172" t="s">
        <v>298</v>
      </c>
      <c r="I68" s="172" t="s">
        <v>283</v>
      </c>
      <c r="J68" s="172" t="s">
        <v>318</v>
      </c>
      <c r="K68" s="172" t="s">
        <v>357</v>
      </c>
      <c r="L68" s="172">
        <v>750</v>
      </c>
      <c r="M68" s="173">
        <v>1</v>
      </c>
      <c r="N68" s="173" t="s">
        <v>286</v>
      </c>
    </row>
    <row r="69" spans="1:14" s="174" customFormat="1" ht="55.5" customHeight="1">
      <c r="A69" s="171">
        <v>80</v>
      </c>
      <c r="B69" s="171" t="s">
        <v>278</v>
      </c>
      <c r="C69" s="171">
        <v>4500110453</v>
      </c>
      <c r="D69" s="171">
        <v>7700312051</v>
      </c>
      <c r="E69" s="172" t="s">
        <v>279</v>
      </c>
      <c r="F69" s="172" t="s">
        <v>280</v>
      </c>
      <c r="G69" s="172" t="s">
        <v>281</v>
      </c>
      <c r="H69" s="172" t="s">
        <v>298</v>
      </c>
      <c r="I69" s="172" t="s">
        <v>283</v>
      </c>
      <c r="J69" s="172" t="s">
        <v>318</v>
      </c>
      <c r="K69" s="172" t="s">
        <v>358</v>
      </c>
      <c r="L69" s="172">
        <v>750</v>
      </c>
      <c r="M69" s="173">
        <v>1</v>
      </c>
      <c r="N69" s="173" t="s">
        <v>286</v>
      </c>
    </row>
    <row r="70" spans="1:14" s="174" customFormat="1" ht="55.5" customHeight="1">
      <c r="A70" s="171">
        <v>80</v>
      </c>
      <c r="B70" s="171" t="s">
        <v>278</v>
      </c>
      <c r="C70" s="171">
        <v>4500110453</v>
      </c>
      <c r="D70" s="171">
        <v>7700312051</v>
      </c>
      <c r="E70" s="172" t="s">
        <v>279</v>
      </c>
      <c r="F70" s="172" t="s">
        <v>280</v>
      </c>
      <c r="G70" s="172" t="s">
        <v>281</v>
      </c>
      <c r="H70" s="172" t="s">
        <v>298</v>
      </c>
      <c r="I70" s="172" t="s">
        <v>283</v>
      </c>
      <c r="J70" s="172" t="s">
        <v>318</v>
      </c>
      <c r="K70" s="172" t="s">
        <v>359</v>
      </c>
      <c r="L70" s="172">
        <v>750</v>
      </c>
      <c r="M70" s="173">
        <v>1</v>
      </c>
      <c r="N70" s="173" t="str">
        <f>_xlfn.XLOOKUP(K70,'[1]From CDC site verification P1 '!D:D,'[1]From CDC site verification P1 '!E:E,0,0)</f>
        <v>13-4034-BV-0103</v>
      </c>
    </row>
    <row r="71" spans="1:14" s="174" customFormat="1" ht="55.5" customHeight="1">
      <c r="A71" s="171">
        <v>80</v>
      </c>
      <c r="B71" s="171" t="s">
        <v>278</v>
      </c>
      <c r="C71" s="171">
        <v>4500110453</v>
      </c>
      <c r="D71" s="171">
        <v>7700312051</v>
      </c>
      <c r="E71" s="172" t="s">
        <v>279</v>
      </c>
      <c r="F71" s="172" t="s">
        <v>280</v>
      </c>
      <c r="G71" s="172" t="s">
        <v>281</v>
      </c>
      <c r="H71" s="172" t="s">
        <v>298</v>
      </c>
      <c r="I71" s="172" t="s">
        <v>283</v>
      </c>
      <c r="J71" s="172" t="s">
        <v>318</v>
      </c>
      <c r="K71" s="172" t="s">
        <v>360</v>
      </c>
      <c r="L71" s="172">
        <v>750</v>
      </c>
      <c r="M71" s="173">
        <v>1</v>
      </c>
      <c r="N71" s="173" t="s">
        <v>286</v>
      </c>
    </row>
    <row r="72" spans="1:14" s="174" customFormat="1" ht="55.5" customHeight="1">
      <c r="A72" s="171">
        <v>80</v>
      </c>
      <c r="B72" s="171" t="s">
        <v>278</v>
      </c>
      <c r="C72" s="171">
        <v>4500110453</v>
      </c>
      <c r="D72" s="171">
        <v>7700312051</v>
      </c>
      <c r="E72" s="172" t="s">
        <v>279</v>
      </c>
      <c r="F72" s="172" t="s">
        <v>280</v>
      </c>
      <c r="G72" s="172" t="s">
        <v>281</v>
      </c>
      <c r="H72" s="172" t="s">
        <v>298</v>
      </c>
      <c r="I72" s="172" t="s">
        <v>283</v>
      </c>
      <c r="J72" s="172" t="s">
        <v>318</v>
      </c>
      <c r="K72" s="172" t="s">
        <v>361</v>
      </c>
      <c r="L72" s="172">
        <v>750</v>
      </c>
      <c r="M72" s="173">
        <v>1</v>
      </c>
      <c r="N72" s="173" t="str">
        <f>_xlfn.XLOOKUP(K72,'[1]From CDC site verification P1 '!D:D,'[1]From CDC site verification P1 '!E:E,0,0)</f>
        <v>13-4034-BV-0023</v>
      </c>
    </row>
    <row r="73" spans="1:14" s="174" customFormat="1" ht="55.5" customHeight="1">
      <c r="A73" s="171">
        <v>80</v>
      </c>
      <c r="B73" s="171" t="s">
        <v>278</v>
      </c>
      <c r="C73" s="171">
        <v>4500110453</v>
      </c>
      <c r="D73" s="171">
        <v>7700312051</v>
      </c>
      <c r="E73" s="172" t="s">
        <v>279</v>
      </c>
      <c r="F73" s="172" t="s">
        <v>280</v>
      </c>
      <c r="G73" s="172" t="s">
        <v>281</v>
      </c>
      <c r="H73" s="172" t="s">
        <v>298</v>
      </c>
      <c r="I73" s="172" t="s">
        <v>283</v>
      </c>
      <c r="J73" s="172" t="s">
        <v>318</v>
      </c>
      <c r="K73" s="172" t="s">
        <v>362</v>
      </c>
      <c r="L73" s="172">
        <v>750</v>
      </c>
      <c r="M73" s="173">
        <v>1</v>
      </c>
      <c r="N73" s="173" t="str">
        <f>_xlfn.XLOOKUP(K73,'[1]From CDC site verification P1 '!D:D,'[1]From CDC site verification P1 '!E:E,0,0)</f>
        <v>13-4034-BV-0065</v>
      </c>
    </row>
    <row r="74" spans="1:14" s="174" customFormat="1" ht="55.5" customHeight="1">
      <c r="A74" s="171">
        <v>80</v>
      </c>
      <c r="B74" s="171" t="s">
        <v>278</v>
      </c>
      <c r="C74" s="171">
        <v>4500110453</v>
      </c>
      <c r="D74" s="171">
        <v>7700312051</v>
      </c>
      <c r="E74" s="172" t="s">
        <v>279</v>
      </c>
      <c r="F74" s="172" t="s">
        <v>280</v>
      </c>
      <c r="G74" s="172" t="s">
        <v>281</v>
      </c>
      <c r="H74" s="172" t="s">
        <v>298</v>
      </c>
      <c r="I74" s="172" t="s">
        <v>283</v>
      </c>
      <c r="J74" s="172" t="s">
        <v>318</v>
      </c>
      <c r="K74" s="172" t="s">
        <v>363</v>
      </c>
      <c r="L74" s="172">
        <v>750</v>
      </c>
      <c r="M74" s="173">
        <v>1</v>
      </c>
      <c r="N74" s="173" t="s">
        <v>286</v>
      </c>
    </row>
    <row r="75" spans="1:14" s="174" customFormat="1" ht="55.5" customHeight="1">
      <c r="A75" s="171">
        <v>80</v>
      </c>
      <c r="B75" s="171" t="s">
        <v>278</v>
      </c>
      <c r="C75" s="171">
        <v>4500110453</v>
      </c>
      <c r="D75" s="171">
        <v>7700312051</v>
      </c>
      <c r="E75" s="172" t="s">
        <v>279</v>
      </c>
      <c r="F75" s="172" t="s">
        <v>280</v>
      </c>
      <c r="G75" s="172" t="s">
        <v>281</v>
      </c>
      <c r="H75" s="172" t="s">
        <v>298</v>
      </c>
      <c r="I75" s="172" t="s">
        <v>283</v>
      </c>
      <c r="J75" s="172" t="s">
        <v>318</v>
      </c>
      <c r="K75" s="172" t="s">
        <v>364</v>
      </c>
      <c r="L75" s="172">
        <v>750</v>
      </c>
      <c r="M75" s="173">
        <v>1</v>
      </c>
      <c r="N75" s="173" t="s">
        <v>286</v>
      </c>
    </row>
    <row r="76" spans="1:14" s="174" customFormat="1" ht="55.5" customHeight="1">
      <c r="A76" s="171">
        <v>80</v>
      </c>
      <c r="B76" s="171" t="s">
        <v>278</v>
      </c>
      <c r="C76" s="171">
        <v>4500110453</v>
      </c>
      <c r="D76" s="171">
        <v>7700312051</v>
      </c>
      <c r="E76" s="172" t="s">
        <v>279</v>
      </c>
      <c r="F76" s="172" t="s">
        <v>280</v>
      </c>
      <c r="G76" s="172" t="s">
        <v>281</v>
      </c>
      <c r="H76" s="172" t="s">
        <v>298</v>
      </c>
      <c r="I76" s="172" t="s">
        <v>283</v>
      </c>
      <c r="J76" s="172" t="s">
        <v>318</v>
      </c>
      <c r="K76" s="172" t="s">
        <v>365</v>
      </c>
      <c r="L76" s="172">
        <v>750</v>
      </c>
      <c r="M76" s="173">
        <v>1</v>
      </c>
      <c r="N76" s="173" t="str">
        <f>_xlfn.XLOOKUP(K76,'[1]From CDC site verification P1 '!D:D,'[1]From CDC site verification P1 '!E:E,0,0)</f>
        <v>13-4034-BV-0050</v>
      </c>
    </row>
    <row r="77" spans="1:14" s="174" customFormat="1" ht="55.5" customHeight="1">
      <c r="A77" s="171">
        <v>80</v>
      </c>
      <c r="B77" s="171" t="s">
        <v>278</v>
      </c>
      <c r="C77" s="171">
        <v>4500110453</v>
      </c>
      <c r="D77" s="171">
        <v>7700312051</v>
      </c>
      <c r="E77" s="172" t="s">
        <v>279</v>
      </c>
      <c r="F77" s="172" t="s">
        <v>280</v>
      </c>
      <c r="G77" s="172" t="s">
        <v>281</v>
      </c>
      <c r="H77" s="172" t="s">
        <v>298</v>
      </c>
      <c r="I77" s="172" t="s">
        <v>283</v>
      </c>
      <c r="J77" s="172" t="s">
        <v>318</v>
      </c>
      <c r="K77" s="172" t="s">
        <v>366</v>
      </c>
      <c r="L77" s="172">
        <v>750</v>
      </c>
      <c r="M77" s="173">
        <v>1</v>
      </c>
      <c r="N77" s="173" t="str">
        <f>_xlfn.XLOOKUP(K77,'[1]From CDC site verification P1 '!D:D,'[1]From CDC site verification P1 '!E:E,0,0)</f>
        <v>13-4034-BV-0078</v>
      </c>
    </row>
    <row r="78" spans="1:14" s="174" customFormat="1" ht="55.5" customHeight="1">
      <c r="A78" s="171">
        <v>80</v>
      </c>
      <c r="B78" s="171" t="s">
        <v>278</v>
      </c>
      <c r="C78" s="171">
        <v>4500110453</v>
      </c>
      <c r="D78" s="171">
        <v>7700312051</v>
      </c>
      <c r="E78" s="172" t="s">
        <v>279</v>
      </c>
      <c r="F78" s="172" t="s">
        <v>280</v>
      </c>
      <c r="G78" s="172" t="s">
        <v>281</v>
      </c>
      <c r="H78" s="172" t="s">
        <v>298</v>
      </c>
      <c r="I78" s="172" t="s">
        <v>283</v>
      </c>
      <c r="J78" s="172" t="s">
        <v>318</v>
      </c>
      <c r="K78" s="172" t="s">
        <v>367</v>
      </c>
      <c r="L78" s="172">
        <v>750</v>
      </c>
      <c r="M78" s="173">
        <v>1</v>
      </c>
      <c r="N78" s="173" t="s">
        <v>286</v>
      </c>
    </row>
    <row r="79" spans="1:14" s="174" customFormat="1" ht="55.5" customHeight="1">
      <c r="A79" s="171">
        <v>80</v>
      </c>
      <c r="B79" s="171" t="s">
        <v>278</v>
      </c>
      <c r="C79" s="171">
        <v>4500110453</v>
      </c>
      <c r="D79" s="171">
        <v>7700312051</v>
      </c>
      <c r="E79" s="172" t="s">
        <v>279</v>
      </c>
      <c r="F79" s="172" t="s">
        <v>280</v>
      </c>
      <c r="G79" s="172" t="s">
        <v>281</v>
      </c>
      <c r="H79" s="172" t="s">
        <v>298</v>
      </c>
      <c r="I79" s="172" t="s">
        <v>283</v>
      </c>
      <c r="J79" s="172" t="s">
        <v>318</v>
      </c>
      <c r="K79" s="172" t="s">
        <v>368</v>
      </c>
      <c r="L79" s="172">
        <v>750</v>
      </c>
      <c r="M79" s="173">
        <v>1</v>
      </c>
      <c r="N79" s="173" t="s">
        <v>286</v>
      </c>
    </row>
    <row r="80" spans="1:14" s="174" customFormat="1" ht="55.5" customHeight="1">
      <c r="A80" s="171">
        <v>80</v>
      </c>
      <c r="B80" s="171" t="s">
        <v>278</v>
      </c>
      <c r="C80" s="171">
        <v>4500110453</v>
      </c>
      <c r="D80" s="171">
        <v>7700312051</v>
      </c>
      <c r="E80" s="172" t="s">
        <v>279</v>
      </c>
      <c r="F80" s="172" t="s">
        <v>280</v>
      </c>
      <c r="G80" s="172" t="s">
        <v>281</v>
      </c>
      <c r="H80" s="172" t="s">
        <v>298</v>
      </c>
      <c r="I80" s="172" t="s">
        <v>283</v>
      </c>
      <c r="J80" s="172" t="s">
        <v>318</v>
      </c>
      <c r="K80" s="172" t="s">
        <v>369</v>
      </c>
      <c r="L80" s="172">
        <v>750</v>
      </c>
      <c r="M80" s="173">
        <v>1</v>
      </c>
      <c r="N80" s="173" t="s">
        <v>286</v>
      </c>
    </row>
    <row r="81" spans="1:14" s="174" customFormat="1" ht="55.5" customHeight="1">
      <c r="A81" s="171">
        <v>80</v>
      </c>
      <c r="B81" s="171" t="s">
        <v>278</v>
      </c>
      <c r="C81" s="171">
        <v>4500110453</v>
      </c>
      <c r="D81" s="171">
        <v>7700312051</v>
      </c>
      <c r="E81" s="172" t="s">
        <v>279</v>
      </c>
      <c r="F81" s="172" t="s">
        <v>280</v>
      </c>
      <c r="G81" s="172" t="s">
        <v>281</v>
      </c>
      <c r="H81" s="172" t="s">
        <v>298</v>
      </c>
      <c r="I81" s="172" t="s">
        <v>283</v>
      </c>
      <c r="J81" s="172" t="s">
        <v>318</v>
      </c>
      <c r="K81" s="172" t="s">
        <v>370</v>
      </c>
      <c r="L81" s="172">
        <v>750</v>
      </c>
      <c r="M81" s="173">
        <v>1</v>
      </c>
      <c r="N81" s="173" t="str">
        <f>_xlfn.XLOOKUP(K81,'[1]From CDC site verification P1 '!D:D,'[1]From CDC site verification P1 '!E:E,0,0)</f>
        <v>13-4034-BV-0079</v>
      </c>
    </row>
    <row r="82" spans="1:14" s="174" customFormat="1" ht="55.5" customHeight="1">
      <c r="A82" s="171">
        <v>80</v>
      </c>
      <c r="B82" s="171" t="s">
        <v>278</v>
      </c>
      <c r="C82" s="171">
        <v>4500110453</v>
      </c>
      <c r="D82" s="171">
        <v>7700312051</v>
      </c>
      <c r="E82" s="172" t="s">
        <v>279</v>
      </c>
      <c r="F82" s="172" t="s">
        <v>280</v>
      </c>
      <c r="G82" s="172" t="s">
        <v>281</v>
      </c>
      <c r="H82" s="172" t="s">
        <v>298</v>
      </c>
      <c r="I82" s="172" t="s">
        <v>283</v>
      </c>
      <c r="J82" s="172" t="s">
        <v>318</v>
      </c>
      <c r="K82" s="172" t="s">
        <v>371</v>
      </c>
      <c r="L82" s="172">
        <v>750</v>
      </c>
      <c r="M82" s="173">
        <v>1</v>
      </c>
      <c r="N82" s="173" t="str">
        <f>_xlfn.XLOOKUP(K82,'[1]From CDC site verification P1 '!D:D,'[1]From CDC site verification P1 '!E:E,0,0)</f>
        <v>13-4034-BV-0049</v>
      </c>
    </row>
    <row r="83" spans="1:14" s="174" customFormat="1" ht="55.5" customHeight="1">
      <c r="A83" s="171">
        <v>80</v>
      </c>
      <c r="B83" s="171" t="s">
        <v>278</v>
      </c>
      <c r="C83" s="171">
        <v>4500110453</v>
      </c>
      <c r="D83" s="171">
        <v>7700312051</v>
      </c>
      <c r="E83" s="172" t="s">
        <v>279</v>
      </c>
      <c r="F83" s="172" t="s">
        <v>280</v>
      </c>
      <c r="G83" s="172" t="s">
        <v>281</v>
      </c>
      <c r="H83" s="172" t="s">
        <v>298</v>
      </c>
      <c r="I83" s="172" t="s">
        <v>283</v>
      </c>
      <c r="J83" s="172" t="s">
        <v>318</v>
      </c>
      <c r="K83" s="172" t="s">
        <v>372</v>
      </c>
      <c r="L83" s="172">
        <v>750</v>
      </c>
      <c r="M83" s="173">
        <v>1</v>
      </c>
      <c r="N83" s="173" t="s">
        <v>286</v>
      </c>
    </row>
    <row r="84" spans="1:14" s="174" customFormat="1" ht="55.5" customHeight="1">
      <c r="A84" s="171">
        <v>80</v>
      </c>
      <c r="B84" s="171" t="s">
        <v>278</v>
      </c>
      <c r="C84" s="171">
        <v>4500110453</v>
      </c>
      <c r="D84" s="171">
        <v>7700312051</v>
      </c>
      <c r="E84" s="172" t="s">
        <v>279</v>
      </c>
      <c r="F84" s="172" t="s">
        <v>280</v>
      </c>
      <c r="G84" s="172" t="s">
        <v>281</v>
      </c>
      <c r="H84" s="172" t="s">
        <v>298</v>
      </c>
      <c r="I84" s="172" t="s">
        <v>283</v>
      </c>
      <c r="J84" s="172" t="s">
        <v>318</v>
      </c>
      <c r="K84" s="172" t="s">
        <v>373</v>
      </c>
      <c r="L84" s="172">
        <v>750</v>
      </c>
      <c r="M84" s="173">
        <v>1</v>
      </c>
      <c r="N84" s="173" t="s">
        <v>286</v>
      </c>
    </row>
    <row r="85" spans="1:14" s="174" customFormat="1" ht="55.5" customHeight="1">
      <c r="A85" s="171">
        <v>80</v>
      </c>
      <c r="B85" s="171" t="s">
        <v>278</v>
      </c>
      <c r="C85" s="171">
        <v>4500110453</v>
      </c>
      <c r="D85" s="171">
        <v>7700312051</v>
      </c>
      <c r="E85" s="172" t="s">
        <v>279</v>
      </c>
      <c r="F85" s="172" t="s">
        <v>280</v>
      </c>
      <c r="G85" s="172" t="s">
        <v>281</v>
      </c>
      <c r="H85" s="172" t="s">
        <v>298</v>
      </c>
      <c r="I85" s="172" t="s">
        <v>283</v>
      </c>
      <c r="J85" s="172" t="s">
        <v>318</v>
      </c>
      <c r="K85" s="172" t="s">
        <v>374</v>
      </c>
      <c r="L85" s="172">
        <v>750</v>
      </c>
      <c r="M85" s="173">
        <v>1</v>
      </c>
      <c r="N85" s="173" t="s">
        <v>286</v>
      </c>
    </row>
    <row r="86" spans="1:14" s="174" customFormat="1" ht="55.5" customHeight="1">
      <c r="A86" s="171">
        <v>80</v>
      </c>
      <c r="B86" s="171" t="s">
        <v>278</v>
      </c>
      <c r="C86" s="171">
        <v>4500110453</v>
      </c>
      <c r="D86" s="171">
        <v>7700312051</v>
      </c>
      <c r="E86" s="172" t="s">
        <v>279</v>
      </c>
      <c r="F86" s="172" t="s">
        <v>280</v>
      </c>
      <c r="G86" s="172" t="s">
        <v>281</v>
      </c>
      <c r="H86" s="172" t="s">
        <v>298</v>
      </c>
      <c r="I86" s="172" t="s">
        <v>283</v>
      </c>
      <c r="J86" s="172" t="s">
        <v>318</v>
      </c>
      <c r="K86" s="172" t="s">
        <v>375</v>
      </c>
      <c r="L86" s="172">
        <v>750</v>
      </c>
      <c r="M86" s="173">
        <v>1</v>
      </c>
      <c r="N86" s="173" t="s">
        <v>286</v>
      </c>
    </row>
    <row r="87" spans="1:14" s="174" customFormat="1" ht="55.5" customHeight="1">
      <c r="A87" s="171">
        <v>80</v>
      </c>
      <c r="B87" s="171" t="s">
        <v>278</v>
      </c>
      <c r="C87" s="171">
        <v>4500110453</v>
      </c>
      <c r="D87" s="171">
        <v>7700312051</v>
      </c>
      <c r="E87" s="172" t="s">
        <v>279</v>
      </c>
      <c r="F87" s="172" t="s">
        <v>280</v>
      </c>
      <c r="G87" s="172" t="s">
        <v>281</v>
      </c>
      <c r="H87" s="172" t="s">
        <v>298</v>
      </c>
      <c r="I87" s="172" t="s">
        <v>283</v>
      </c>
      <c r="J87" s="172" t="s">
        <v>318</v>
      </c>
      <c r="K87" s="172" t="s">
        <v>376</v>
      </c>
      <c r="L87" s="172">
        <v>750</v>
      </c>
      <c r="M87" s="173">
        <v>1</v>
      </c>
      <c r="N87" s="173" t="s">
        <v>286</v>
      </c>
    </row>
    <row r="88" spans="1:14" s="174" customFormat="1" ht="55.5" customHeight="1">
      <c r="A88" s="171">
        <v>80</v>
      </c>
      <c r="B88" s="171" t="s">
        <v>278</v>
      </c>
      <c r="C88" s="171">
        <v>4500110453</v>
      </c>
      <c r="D88" s="171">
        <v>7700312051</v>
      </c>
      <c r="E88" s="172" t="s">
        <v>279</v>
      </c>
      <c r="F88" s="172" t="s">
        <v>280</v>
      </c>
      <c r="G88" s="172" t="s">
        <v>281</v>
      </c>
      <c r="H88" s="172" t="s">
        <v>298</v>
      </c>
      <c r="I88" s="172" t="s">
        <v>283</v>
      </c>
      <c r="J88" s="172" t="s">
        <v>318</v>
      </c>
      <c r="K88" s="172" t="s">
        <v>377</v>
      </c>
      <c r="L88" s="172">
        <v>750</v>
      </c>
      <c r="M88" s="173">
        <v>1</v>
      </c>
      <c r="N88" s="173" t="s">
        <v>286</v>
      </c>
    </row>
    <row r="89" spans="1:14" s="174" customFormat="1" ht="55.5" customHeight="1">
      <c r="A89" s="171">
        <v>80</v>
      </c>
      <c r="B89" s="171" t="s">
        <v>278</v>
      </c>
      <c r="C89" s="171">
        <v>4500110453</v>
      </c>
      <c r="D89" s="171">
        <v>7700312051</v>
      </c>
      <c r="E89" s="172" t="s">
        <v>279</v>
      </c>
      <c r="F89" s="172" t="s">
        <v>280</v>
      </c>
      <c r="G89" s="172" t="s">
        <v>281</v>
      </c>
      <c r="H89" s="172" t="s">
        <v>298</v>
      </c>
      <c r="I89" s="172" t="s">
        <v>283</v>
      </c>
      <c r="J89" s="172" t="s">
        <v>318</v>
      </c>
      <c r="K89" s="172" t="s">
        <v>378</v>
      </c>
      <c r="L89" s="172">
        <v>750</v>
      </c>
      <c r="M89" s="173">
        <v>1</v>
      </c>
      <c r="N89" s="173" t="s">
        <v>286</v>
      </c>
    </row>
    <row r="90" spans="1:14" s="174" customFormat="1" ht="55.5" customHeight="1">
      <c r="A90" s="171">
        <v>80</v>
      </c>
      <c r="B90" s="171" t="s">
        <v>278</v>
      </c>
      <c r="C90" s="171">
        <v>4500110453</v>
      </c>
      <c r="D90" s="171">
        <v>7700312051</v>
      </c>
      <c r="E90" s="172" t="s">
        <v>279</v>
      </c>
      <c r="F90" s="172" t="s">
        <v>280</v>
      </c>
      <c r="G90" s="172" t="s">
        <v>281</v>
      </c>
      <c r="H90" s="172" t="s">
        <v>298</v>
      </c>
      <c r="I90" s="172" t="s">
        <v>283</v>
      </c>
      <c r="J90" s="172" t="s">
        <v>318</v>
      </c>
      <c r="K90" s="172" t="s">
        <v>379</v>
      </c>
      <c r="L90" s="172">
        <v>750</v>
      </c>
      <c r="M90" s="173">
        <v>1</v>
      </c>
      <c r="N90" s="173" t="str">
        <f>_xlfn.XLOOKUP(K90,'[1]From CDC site verification P1 '!D:D,'[1]From CDC site verification P1 '!E:E,0,0)</f>
        <v>13-4034-BV-0145</v>
      </c>
    </row>
    <row r="91" spans="1:14" s="174" customFormat="1" ht="55.5" customHeight="1">
      <c r="A91" s="171">
        <v>80</v>
      </c>
      <c r="B91" s="171" t="s">
        <v>278</v>
      </c>
      <c r="C91" s="171">
        <v>4500110453</v>
      </c>
      <c r="D91" s="171">
        <v>7700312051</v>
      </c>
      <c r="E91" s="172" t="s">
        <v>279</v>
      </c>
      <c r="F91" s="172" t="s">
        <v>280</v>
      </c>
      <c r="G91" s="172" t="s">
        <v>281</v>
      </c>
      <c r="H91" s="172" t="s">
        <v>298</v>
      </c>
      <c r="I91" s="172" t="s">
        <v>283</v>
      </c>
      <c r="J91" s="172" t="s">
        <v>318</v>
      </c>
      <c r="K91" s="172" t="s">
        <v>380</v>
      </c>
      <c r="L91" s="172">
        <v>750</v>
      </c>
      <c r="M91" s="173">
        <v>1</v>
      </c>
      <c r="N91" s="173" t="s">
        <v>286</v>
      </c>
    </row>
    <row r="92" spans="1:14" s="174" customFormat="1" ht="55.5" customHeight="1">
      <c r="A92" s="171">
        <v>80</v>
      </c>
      <c r="B92" s="171" t="s">
        <v>278</v>
      </c>
      <c r="C92" s="171">
        <v>4500110453</v>
      </c>
      <c r="D92" s="171">
        <v>7700312051</v>
      </c>
      <c r="E92" s="172" t="s">
        <v>279</v>
      </c>
      <c r="F92" s="172" t="s">
        <v>280</v>
      </c>
      <c r="G92" s="172" t="s">
        <v>281</v>
      </c>
      <c r="H92" s="172" t="s">
        <v>298</v>
      </c>
      <c r="I92" s="172" t="s">
        <v>283</v>
      </c>
      <c r="J92" s="172" t="s">
        <v>318</v>
      </c>
      <c r="K92" s="172" t="s">
        <v>381</v>
      </c>
      <c r="L92" s="172">
        <v>750</v>
      </c>
      <c r="M92" s="173">
        <v>1</v>
      </c>
      <c r="N92" s="173" t="s">
        <v>286</v>
      </c>
    </row>
    <row r="93" spans="1:14" s="174" customFormat="1" ht="55.5" customHeight="1">
      <c r="A93" s="171">
        <v>80</v>
      </c>
      <c r="B93" s="171" t="s">
        <v>278</v>
      </c>
      <c r="C93" s="171">
        <v>4500110453</v>
      </c>
      <c r="D93" s="171">
        <v>7700312051</v>
      </c>
      <c r="E93" s="172" t="s">
        <v>279</v>
      </c>
      <c r="F93" s="172" t="s">
        <v>280</v>
      </c>
      <c r="G93" s="172" t="s">
        <v>281</v>
      </c>
      <c r="H93" s="172" t="s">
        <v>298</v>
      </c>
      <c r="I93" s="172" t="s">
        <v>283</v>
      </c>
      <c r="J93" s="172" t="s">
        <v>318</v>
      </c>
      <c r="K93" s="172" t="s">
        <v>382</v>
      </c>
      <c r="L93" s="172">
        <v>750</v>
      </c>
      <c r="M93" s="173">
        <v>1</v>
      </c>
      <c r="N93" s="173" t="s">
        <v>286</v>
      </c>
    </row>
    <row r="94" spans="1:14" s="174" customFormat="1" ht="55.5" customHeight="1">
      <c r="A94" s="171">
        <v>80</v>
      </c>
      <c r="B94" s="171" t="s">
        <v>278</v>
      </c>
      <c r="C94" s="171">
        <v>4500110453</v>
      </c>
      <c r="D94" s="171">
        <v>7700312051</v>
      </c>
      <c r="E94" s="172" t="s">
        <v>279</v>
      </c>
      <c r="F94" s="172" t="s">
        <v>280</v>
      </c>
      <c r="G94" s="172" t="s">
        <v>281</v>
      </c>
      <c r="H94" s="172" t="s">
        <v>298</v>
      </c>
      <c r="I94" s="172" t="s">
        <v>283</v>
      </c>
      <c r="J94" s="172" t="s">
        <v>318</v>
      </c>
      <c r="K94" s="172" t="s">
        <v>383</v>
      </c>
      <c r="L94" s="172">
        <v>750</v>
      </c>
      <c r="M94" s="173">
        <v>1</v>
      </c>
      <c r="N94" s="173" t="str">
        <f>_xlfn.XLOOKUP(K94,'[1]From CDC site verification P1 '!D:D,'[1]From CDC site verification P1 '!E:E,0,0)</f>
        <v>13-4034-BV-0105</v>
      </c>
    </row>
    <row r="95" spans="1:14" s="174" customFormat="1" ht="55.5" customHeight="1">
      <c r="A95" s="171">
        <v>80</v>
      </c>
      <c r="B95" s="171" t="s">
        <v>278</v>
      </c>
      <c r="C95" s="171">
        <v>4500110453</v>
      </c>
      <c r="D95" s="171">
        <v>7700312051</v>
      </c>
      <c r="E95" s="172" t="s">
        <v>279</v>
      </c>
      <c r="F95" s="172" t="s">
        <v>280</v>
      </c>
      <c r="G95" s="172" t="s">
        <v>281</v>
      </c>
      <c r="H95" s="172" t="s">
        <v>298</v>
      </c>
      <c r="I95" s="172" t="s">
        <v>283</v>
      </c>
      <c r="J95" s="172" t="s">
        <v>318</v>
      </c>
      <c r="K95" s="172" t="s">
        <v>384</v>
      </c>
      <c r="L95" s="172">
        <v>750</v>
      </c>
      <c r="M95" s="173">
        <v>1</v>
      </c>
      <c r="N95" s="173" t="s">
        <v>286</v>
      </c>
    </row>
    <row r="96" spans="1:14" s="174" customFormat="1" ht="55.5" customHeight="1">
      <c r="A96" s="171">
        <v>80</v>
      </c>
      <c r="B96" s="171" t="s">
        <v>278</v>
      </c>
      <c r="C96" s="171">
        <v>4500110453</v>
      </c>
      <c r="D96" s="171">
        <v>7700312051</v>
      </c>
      <c r="E96" s="172" t="s">
        <v>279</v>
      </c>
      <c r="F96" s="172" t="s">
        <v>280</v>
      </c>
      <c r="G96" s="172" t="s">
        <v>281</v>
      </c>
      <c r="H96" s="172" t="s">
        <v>298</v>
      </c>
      <c r="I96" s="172" t="s">
        <v>283</v>
      </c>
      <c r="J96" s="172" t="s">
        <v>318</v>
      </c>
      <c r="K96" s="172" t="s">
        <v>385</v>
      </c>
      <c r="L96" s="172">
        <v>750</v>
      </c>
      <c r="M96" s="173">
        <v>1</v>
      </c>
      <c r="N96" s="173" t="str">
        <f>_xlfn.XLOOKUP(K96,'[1]From CDC site verification P1 '!D:D,'[1]From CDC site verification P1 '!E:E,0,0)</f>
        <v>13-4034-BV-0021</v>
      </c>
    </row>
    <row r="97" spans="1:14" s="174" customFormat="1" ht="55.5" customHeight="1">
      <c r="A97" s="171">
        <v>80</v>
      </c>
      <c r="B97" s="171" t="s">
        <v>278</v>
      </c>
      <c r="C97" s="171">
        <v>4500110453</v>
      </c>
      <c r="D97" s="171">
        <v>7700312051</v>
      </c>
      <c r="E97" s="172" t="s">
        <v>279</v>
      </c>
      <c r="F97" s="172" t="s">
        <v>280</v>
      </c>
      <c r="G97" s="172" t="s">
        <v>281</v>
      </c>
      <c r="H97" s="172" t="s">
        <v>298</v>
      </c>
      <c r="I97" s="172" t="s">
        <v>283</v>
      </c>
      <c r="J97" s="172" t="s">
        <v>318</v>
      </c>
      <c r="K97" s="172" t="s">
        <v>386</v>
      </c>
      <c r="L97" s="172">
        <v>750</v>
      </c>
      <c r="M97" s="173">
        <v>1</v>
      </c>
      <c r="N97" s="173" t="str">
        <f>_xlfn.XLOOKUP(K97,'[1]From CDC site verification P1 '!D:D,'[1]From CDC site verification P1 '!E:E,0,0)</f>
        <v>13-4034-BV-0131</v>
      </c>
    </row>
    <row r="98" spans="1:14" s="174" customFormat="1" ht="55.5" customHeight="1">
      <c r="A98" s="171">
        <v>80</v>
      </c>
      <c r="B98" s="171" t="s">
        <v>278</v>
      </c>
      <c r="C98" s="171">
        <v>4500110453</v>
      </c>
      <c r="D98" s="171">
        <v>7700312051</v>
      </c>
      <c r="E98" s="172" t="s">
        <v>279</v>
      </c>
      <c r="F98" s="172" t="s">
        <v>280</v>
      </c>
      <c r="G98" s="172" t="s">
        <v>281</v>
      </c>
      <c r="H98" s="172" t="s">
        <v>298</v>
      </c>
      <c r="I98" s="172" t="s">
        <v>283</v>
      </c>
      <c r="J98" s="172" t="s">
        <v>318</v>
      </c>
      <c r="K98" s="172" t="s">
        <v>387</v>
      </c>
      <c r="L98" s="172">
        <v>750</v>
      </c>
      <c r="M98" s="173">
        <v>1</v>
      </c>
      <c r="N98" s="173" t="s">
        <v>286</v>
      </c>
    </row>
    <row r="99" spans="1:14" s="174" customFormat="1" ht="55.5" customHeight="1">
      <c r="A99" s="171">
        <v>80</v>
      </c>
      <c r="B99" s="171" t="s">
        <v>278</v>
      </c>
      <c r="C99" s="171">
        <v>4500110453</v>
      </c>
      <c r="D99" s="171">
        <v>7700312051</v>
      </c>
      <c r="E99" s="172" t="s">
        <v>279</v>
      </c>
      <c r="F99" s="172" t="s">
        <v>280</v>
      </c>
      <c r="G99" s="172" t="s">
        <v>281</v>
      </c>
      <c r="H99" s="172" t="s">
        <v>298</v>
      </c>
      <c r="I99" s="172" t="s">
        <v>283</v>
      </c>
      <c r="J99" s="172" t="s">
        <v>318</v>
      </c>
      <c r="K99" s="172" t="s">
        <v>388</v>
      </c>
      <c r="L99" s="172">
        <v>750</v>
      </c>
      <c r="M99" s="173">
        <v>1</v>
      </c>
      <c r="N99" s="173" t="s">
        <v>286</v>
      </c>
    </row>
    <row r="100" spans="1:14" s="174" customFormat="1" ht="55.5" customHeight="1">
      <c r="A100" s="171">
        <v>80</v>
      </c>
      <c r="B100" s="171" t="s">
        <v>278</v>
      </c>
      <c r="C100" s="171">
        <v>4500110453</v>
      </c>
      <c r="D100" s="171">
        <v>7700312051</v>
      </c>
      <c r="E100" s="172" t="s">
        <v>279</v>
      </c>
      <c r="F100" s="172" t="s">
        <v>280</v>
      </c>
      <c r="G100" s="172" t="s">
        <v>281</v>
      </c>
      <c r="H100" s="172" t="s">
        <v>298</v>
      </c>
      <c r="I100" s="172" t="s">
        <v>283</v>
      </c>
      <c r="J100" s="172" t="s">
        <v>318</v>
      </c>
      <c r="K100" s="172" t="s">
        <v>389</v>
      </c>
      <c r="L100" s="172">
        <v>750</v>
      </c>
      <c r="M100" s="173">
        <v>1</v>
      </c>
      <c r="N100" s="173" t="s">
        <v>286</v>
      </c>
    </row>
    <row r="101" spans="1:14" s="174" customFormat="1" ht="55.5" customHeight="1">
      <c r="A101" s="171">
        <v>80</v>
      </c>
      <c r="B101" s="171" t="s">
        <v>278</v>
      </c>
      <c r="C101" s="171">
        <v>4500110453</v>
      </c>
      <c r="D101" s="171">
        <v>7700312051</v>
      </c>
      <c r="E101" s="172" t="s">
        <v>279</v>
      </c>
      <c r="F101" s="172" t="s">
        <v>280</v>
      </c>
      <c r="G101" s="172" t="s">
        <v>281</v>
      </c>
      <c r="H101" s="172" t="s">
        <v>298</v>
      </c>
      <c r="I101" s="172" t="s">
        <v>283</v>
      </c>
      <c r="J101" s="172" t="s">
        <v>318</v>
      </c>
      <c r="K101" s="172" t="s">
        <v>390</v>
      </c>
      <c r="L101" s="172">
        <v>750</v>
      </c>
      <c r="M101" s="173">
        <v>1</v>
      </c>
      <c r="N101" s="173" t="s">
        <v>286</v>
      </c>
    </row>
    <row r="102" spans="1:14" s="174" customFormat="1" ht="55.5" customHeight="1">
      <c r="A102" s="171">
        <v>80</v>
      </c>
      <c r="B102" s="171" t="s">
        <v>278</v>
      </c>
      <c r="C102" s="171">
        <v>4500110453</v>
      </c>
      <c r="D102" s="171">
        <v>7700312051</v>
      </c>
      <c r="E102" s="172" t="s">
        <v>279</v>
      </c>
      <c r="F102" s="172" t="s">
        <v>280</v>
      </c>
      <c r="G102" s="172" t="s">
        <v>281</v>
      </c>
      <c r="H102" s="172" t="s">
        <v>298</v>
      </c>
      <c r="I102" s="172" t="s">
        <v>283</v>
      </c>
      <c r="J102" s="172" t="s">
        <v>318</v>
      </c>
      <c r="K102" s="172" t="s">
        <v>391</v>
      </c>
      <c r="L102" s="172">
        <v>750</v>
      </c>
      <c r="M102" s="173">
        <v>1</v>
      </c>
      <c r="N102" s="173" t="str">
        <f>_xlfn.XLOOKUP(K102,'[1]From CDC site verification P1 '!D:D,'[1]From CDC site verification P1 '!E:E,0,0)</f>
        <v>13-4034-BV-0104</v>
      </c>
    </row>
    <row r="103" spans="1:14" s="174" customFormat="1" ht="55.5" customHeight="1">
      <c r="A103" s="171">
        <v>80</v>
      </c>
      <c r="B103" s="171" t="s">
        <v>278</v>
      </c>
      <c r="C103" s="171">
        <v>4500110453</v>
      </c>
      <c r="D103" s="171">
        <v>7700312051</v>
      </c>
      <c r="E103" s="172" t="s">
        <v>279</v>
      </c>
      <c r="F103" s="172" t="s">
        <v>280</v>
      </c>
      <c r="G103" s="172" t="s">
        <v>281</v>
      </c>
      <c r="H103" s="172" t="s">
        <v>298</v>
      </c>
      <c r="I103" s="172" t="s">
        <v>283</v>
      </c>
      <c r="J103" s="172" t="s">
        <v>318</v>
      </c>
      <c r="K103" s="172" t="s">
        <v>392</v>
      </c>
      <c r="L103" s="172">
        <v>750</v>
      </c>
      <c r="M103" s="173">
        <v>1</v>
      </c>
      <c r="N103" s="173" t="s">
        <v>286</v>
      </c>
    </row>
    <row r="104" spans="1:14" s="174" customFormat="1" ht="55.5" customHeight="1">
      <c r="A104" s="171">
        <v>80</v>
      </c>
      <c r="B104" s="171" t="s">
        <v>278</v>
      </c>
      <c r="C104" s="171">
        <v>4500110453</v>
      </c>
      <c r="D104" s="171">
        <v>7700312051</v>
      </c>
      <c r="E104" s="172" t="s">
        <v>279</v>
      </c>
      <c r="F104" s="172" t="s">
        <v>280</v>
      </c>
      <c r="G104" s="172" t="s">
        <v>281</v>
      </c>
      <c r="H104" s="172" t="s">
        <v>298</v>
      </c>
      <c r="I104" s="172" t="s">
        <v>283</v>
      </c>
      <c r="J104" s="172" t="s">
        <v>318</v>
      </c>
      <c r="K104" s="172" t="s">
        <v>393</v>
      </c>
      <c r="L104" s="172">
        <v>750</v>
      </c>
      <c r="M104" s="173">
        <v>1</v>
      </c>
      <c r="N104" s="173" t="s">
        <v>286</v>
      </c>
    </row>
    <row r="105" spans="1:14" s="174" customFormat="1" ht="55.5" customHeight="1">
      <c r="A105" s="171">
        <v>80</v>
      </c>
      <c r="B105" s="171" t="s">
        <v>278</v>
      </c>
      <c r="C105" s="171">
        <v>4500110453</v>
      </c>
      <c r="D105" s="171">
        <v>7700312051</v>
      </c>
      <c r="E105" s="172" t="s">
        <v>279</v>
      </c>
      <c r="F105" s="172" t="s">
        <v>280</v>
      </c>
      <c r="G105" s="172" t="s">
        <v>281</v>
      </c>
      <c r="H105" s="172" t="s">
        <v>298</v>
      </c>
      <c r="I105" s="172" t="s">
        <v>283</v>
      </c>
      <c r="J105" s="172" t="s">
        <v>318</v>
      </c>
      <c r="K105" s="172" t="s">
        <v>394</v>
      </c>
      <c r="L105" s="172">
        <v>750</v>
      </c>
      <c r="M105" s="173">
        <v>1</v>
      </c>
      <c r="N105" s="173" t="s">
        <v>286</v>
      </c>
    </row>
    <row r="106" spans="1:14" s="174" customFormat="1" ht="55.5" customHeight="1">
      <c r="A106" s="171">
        <v>80</v>
      </c>
      <c r="B106" s="171" t="s">
        <v>278</v>
      </c>
      <c r="C106" s="171">
        <v>4500110453</v>
      </c>
      <c r="D106" s="171">
        <v>7700312051</v>
      </c>
      <c r="E106" s="172" t="s">
        <v>279</v>
      </c>
      <c r="F106" s="172" t="s">
        <v>280</v>
      </c>
      <c r="G106" s="172" t="s">
        <v>281</v>
      </c>
      <c r="H106" s="172" t="s">
        <v>298</v>
      </c>
      <c r="I106" s="172" t="s">
        <v>283</v>
      </c>
      <c r="J106" s="172" t="s">
        <v>318</v>
      </c>
      <c r="K106" s="172" t="s">
        <v>395</v>
      </c>
      <c r="L106" s="172">
        <v>750</v>
      </c>
      <c r="M106" s="173">
        <v>1</v>
      </c>
      <c r="N106" s="173" t="s">
        <v>286</v>
      </c>
    </row>
    <row r="107" spans="1:14" s="174" customFormat="1" ht="55.5" customHeight="1">
      <c r="A107" s="171">
        <v>80</v>
      </c>
      <c r="B107" s="171" t="s">
        <v>278</v>
      </c>
      <c r="C107" s="171">
        <v>4500110453</v>
      </c>
      <c r="D107" s="171">
        <v>7700312051</v>
      </c>
      <c r="E107" s="172" t="s">
        <v>279</v>
      </c>
      <c r="F107" s="172" t="s">
        <v>280</v>
      </c>
      <c r="G107" s="172" t="s">
        <v>281</v>
      </c>
      <c r="H107" s="172" t="s">
        <v>298</v>
      </c>
      <c r="I107" s="172" t="s">
        <v>283</v>
      </c>
      <c r="J107" s="172" t="s">
        <v>318</v>
      </c>
      <c r="K107" s="172" t="s">
        <v>396</v>
      </c>
      <c r="L107" s="172">
        <v>750</v>
      </c>
      <c r="M107" s="173">
        <v>1</v>
      </c>
      <c r="N107" s="173" t="s">
        <v>286</v>
      </c>
    </row>
    <row r="108" spans="1:14" s="174" customFormat="1" ht="55.5" customHeight="1">
      <c r="A108" s="171">
        <v>80</v>
      </c>
      <c r="B108" s="171" t="s">
        <v>278</v>
      </c>
      <c r="C108" s="171">
        <v>4500110453</v>
      </c>
      <c r="D108" s="171">
        <v>7700312051</v>
      </c>
      <c r="E108" s="172" t="s">
        <v>279</v>
      </c>
      <c r="F108" s="172" t="s">
        <v>280</v>
      </c>
      <c r="G108" s="172" t="s">
        <v>281</v>
      </c>
      <c r="H108" s="172" t="s">
        <v>298</v>
      </c>
      <c r="I108" s="172" t="s">
        <v>283</v>
      </c>
      <c r="J108" s="172" t="s">
        <v>318</v>
      </c>
      <c r="K108" s="172" t="s">
        <v>397</v>
      </c>
      <c r="L108" s="172">
        <v>750</v>
      </c>
      <c r="M108" s="173">
        <v>1</v>
      </c>
      <c r="N108" s="173" t="s">
        <v>286</v>
      </c>
    </row>
    <row r="109" spans="1:14" s="174" customFormat="1" ht="55.5" customHeight="1">
      <c r="A109" s="171">
        <v>80</v>
      </c>
      <c r="B109" s="171" t="s">
        <v>278</v>
      </c>
      <c r="C109" s="171">
        <v>4500110453</v>
      </c>
      <c r="D109" s="171">
        <v>7700312051</v>
      </c>
      <c r="E109" s="172" t="s">
        <v>279</v>
      </c>
      <c r="F109" s="172" t="s">
        <v>280</v>
      </c>
      <c r="G109" s="172" t="s">
        <v>281</v>
      </c>
      <c r="H109" s="172" t="s">
        <v>298</v>
      </c>
      <c r="I109" s="172" t="s">
        <v>283</v>
      </c>
      <c r="J109" s="172" t="s">
        <v>318</v>
      </c>
      <c r="K109" s="172" t="s">
        <v>398</v>
      </c>
      <c r="L109" s="172">
        <v>750</v>
      </c>
      <c r="M109" s="173">
        <v>1</v>
      </c>
      <c r="N109" s="173" t="s">
        <v>286</v>
      </c>
    </row>
    <row r="110" spans="1:14" s="174" customFormat="1" ht="55.5" customHeight="1">
      <c r="A110" s="171">
        <v>80</v>
      </c>
      <c r="B110" s="171" t="s">
        <v>278</v>
      </c>
      <c r="C110" s="171">
        <v>4500110453</v>
      </c>
      <c r="D110" s="171">
        <v>7700312051</v>
      </c>
      <c r="E110" s="172" t="s">
        <v>279</v>
      </c>
      <c r="F110" s="172" t="s">
        <v>280</v>
      </c>
      <c r="G110" s="172" t="s">
        <v>281</v>
      </c>
      <c r="H110" s="172" t="s">
        <v>298</v>
      </c>
      <c r="I110" s="172" t="s">
        <v>283</v>
      </c>
      <c r="J110" s="172" t="s">
        <v>318</v>
      </c>
      <c r="K110" s="172" t="s">
        <v>399</v>
      </c>
      <c r="L110" s="172">
        <v>750</v>
      </c>
      <c r="M110" s="173">
        <v>1</v>
      </c>
      <c r="N110" s="173" t="s">
        <v>286</v>
      </c>
    </row>
    <row r="111" spans="1:14" s="174" customFormat="1" ht="55.5" customHeight="1">
      <c r="A111" s="171">
        <v>80</v>
      </c>
      <c r="B111" s="171" t="s">
        <v>278</v>
      </c>
      <c r="C111" s="171">
        <v>4500110453</v>
      </c>
      <c r="D111" s="171">
        <v>7700312051</v>
      </c>
      <c r="E111" s="172" t="s">
        <v>279</v>
      </c>
      <c r="F111" s="172" t="s">
        <v>280</v>
      </c>
      <c r="G111" s="172" t="s">
        <v>281</v>
      </c>
      <c r="H111" s="172" t="s">
        <v>298</v>
      </c>
      <c r="I111" s="172" t="s">
        <v>283</v>
      </c>
      <c r="J111" s="172" t="s">
        <v>318</v>
      </c>
      <c r="K111" s="172" t="s">
        <v>400</v>
      </c>
      <c r="L111" s="172">
        <v>750</v>
      </c>
      <c r="M111" s="173">
        <v>1</v>
      </c>
      <c r="N111" s="173" t="s">
        <v>286</v>
      </c>
    </row>
    <row r="112" spans="1:14" s="174" customFormat="1" ht="55.5" customHeight="1">
      <c r="A112" s="171">
        <v>80</v>
      </c>
      <c r="B112" s="171" t="s">
        <v>278</v>
      </c>
      <c r="C112" s="171">
        <v>4500110453</v>
      </c>
      <c r="D112" s="171">
        <v>7700312051</v>
      </c>
      <c r="E112" s="172" t="s">
        <v>279</v>
      </c>
      <c r="F112" s="172" t="s">
        <v>280</v>
      </c>
      <c r="G112" s="172" t="s">
        <v>281</v>
      </c>
      <c r="H112" s="172" t="s">
        <v>298</v>
      </c>
      <c r="I112" s="172" t="s">
        <v>283</v>
      </c>
      <c r="J112" s="172" t="s">
        <v>318</v>
      </c>
      <c r="K112" s="172" t="s">
        <v>401</v>
      </c>
      <c r="L112" s="172">
        <v>750</v>
      </c>
      <c r="M112" s="173">
        <v>1</v>
      </c>
      <c r="N112" s="173" t="s">
        <v>286</v>
      </c>
    </row>
    <row r="113" spans="1:14" s="174" customFormat="1" ht="55.5" customHeight="1">
      <c r="A113" s="171">
        <v>80</v>
      </c>
      <c r="B113" s="171" t="s">
        <v>278</v>
      </c>
      <c r="C113" s="171">
        <v>4500110453</v>
      </c>
      <c r="D113" s="171">
        <v>7700312051</v>
      </c>
      <c r="E113" s="172" t="s">
        <v>279</v>
      </c>
      <c r="F113" s="172" t="s">
        <v>280</v>
      </c>
      <c r="G113" s="172" t="s">
        <v>281</v>
      </c>
      <c r="H113" s="172" t="s">
        <v>298</v>
      </c>
      <c r="I113" s="172" t="s">
        <v>283</v>
      </c>
      <c r="J113" s="172" t="s">
        <v>318</v>
      </c>
      <c r="K113" s="172" t="s">
        <v>402</v>
      </c>
      <c r="L113" s="172">
        <v>750</v>
      </c>
      <c r="M113" s="173">
        <v>1</v>
      </c>
      <c r="N113" s="173" t="s">
        <v>286</v>
      </c>
    </row>
    <row r="114" spans="1:14" s="174" customFormat="1" ht="55.5" customHeight="1">
      <c r="A114" s="171">
        <v>80</v>
      </c>
      <c r="B114" s="171" t="s">
        <v>278</v>
      </c>
      <c r="C114" s="171">
        <v>4500110453</v>
      </c>
      <c r="D114" s="171">
        <v>7700312051</v>
      </c>
      <c r="E114" s="172" t="s">
        <v>279</v>
      </c>
      <c r="F114" s="172" t="s">
        <v>280</v>
      </c>
      <c r="G114" s="172" t="s">
        <v>281</v>
      </c>
      <c r="H114" s="172" t="s">
        <v>298</v>
      </c>
      <c r="I114" s="172" t="s">
        <v>283</v>
      </c>
      <c r="J114" s="172" t="s">
        <v>318</v>
      </c>
      <c r="K114" s="172" t="s">
        <v>403</v>
      </c>
      <c r="L114" s="172">
        <v>750</v>
      </c>
      <c r="M114" s="173">
        <v>1</v>
      </c>
      <c r="N114" s="173" t="s">
        <v>286</v>
      </c>
    </row>
    <row r="115" spans="1:14" s="174" customFormat="1" ht="55.5" customHeight="1">
      <c r="A115" s="171">
        <v>80</v>
      </c>
      <c r="B115" s="171" t="s">
        <v>278</v>
      </c>
      <c r="C115" s="171">
        <v>4500110453</v>
      </c>
      <c r="D115" s="171">
        <v>7700312051</v>
      </c>
      <c r="E115" s="172" t="s">
        <v>279</v>
      </c>
      <c r="F115" s="172" t="s">
        <v>280</v>
      </c>
      <c r="G115" s="172" t="s">
        <v>281</v>
      </c>
      <c r="H115" s="172" t="s">
        <v>298</v>
      </c>
      <c r="I115" s="172" t="s">
        <v>283</v>
      </c>
      <c r="J115" s="172" t="s">
        <v>318</v>
      </c>
      <c r="K115" s="172" t="s">
        <v>404</v>
      </c>
      <c r="L115" s="172">
        <v>750</v>
      </c>
      <c r="M115" s="173">
        <v>1</v>
      </c>
      <c r="N115" s="173" t="s">
        <v>286</v>
      </c>
    </row>
    <row r="116" spans="1:14" s="174" customFormat="1" ht="55.5" customHeight="1">
      <c r="A116" s="171">
        <v>80</v>
      </c>
      <c r="B116" s="171" t="s">
        <v>278</v>
      </c>
      <c r="C116" s="171">
        <v>4500110453</v>
      </c>
      <c r="D116" s="171">
        <v>7700312051</v>
      </c>
      <c r="E116" s="172" t="s">
        <v>279</v>
      </c>
      <c r="F116" s="172" t="s">
        <v>280</v>
      </c>
      <c r="G116" s="172" t="s">
        <v>281</v>
      </c>
      <c r="H116" s="172" t="s">
        <v>298</v>
      </c>
      <c r="I116" s="172" t="s">
        <v>283</v>
      </c>
      <c r="J116" s="172" t="s">
        <v>318</v>
      </c>
      <c r="K116" s="172" t="s">
        <v>405</v>
      </c>
      <c r="L116" s="172">
        <v>750</v>
      </c>
      <c r="M116" s="173">
        <v>1</v>
      </c>
      <c r="N116" s="173" t="s">
        <v>286</v>
      </c>
    </row>
    <row r="117" spans="1:14" s="174" customFormat="1" ht="55.5" customHeight="1">
      <c r="A117" s="171">
        <v>80</v>
      </c>
      <c r="B117" s="171" t="s">
        <v>278</v>
      </c>
      <c r="C117" s="171">
        <v>4500110453</v>
      </c>
      <c r="D117" s="171">
        <v>7700312051</v>
      </c>
      <c r="E117" s="172" t="s">
        <v>279</v>
      </c>
      <c r="F117" s="172" t="s">
        <v>280</v>
      </c>
      <c r="G117" s="172" t="s">
        <v>281</v>
      </c>
      <c r="H117" s="172" t="s">
        <v>298</v>
      </c>
      <c r="I117" s="172" t="s">
        <v>283</v>
      </c>
      <c r="J117" s="172" t="s">
        <v>318</v>
      </c>
      <c r="K117" s="172" t="s">
        <v>406</v>
      </c>
      <c r="L117" s="172">
        <v>750</v>
      </c>
      <c r="M117" s="173">
        <v>1</v>
      </c>
      <c r="N117" s="173" t="s">
        <v>286</v>
      </c>
    </row>
    <row r="118" spans="1:14" s="174" customFormat="1" ht="55.5" customHeight="1">
      <c r="A118" s="171">
        <v>80</v>
      </c>
      <c r="B118" s="171" t="s">
        <v>278</v>
      </c>
      <c r="C118" s="171">
        <v>4500110453</v>
      </c>
      <c r="D118" s="171">
        <v>7700312051</v>
      </c>
      <c r="E118" s="172" t="s">
        <v>279</v>
      </c>
      <c r="F118" s="172" t="s">
        <v>280</v>
      </c>
      <c r="G118" s="172" t="s">
        <v>281</v>
      </c>
      <c r="H118" s="172" t="s">
        <v>298</v>
      </c>
      <c r="I118" s="172" t="s">
        <v>283</v>
      </c>
      <c r="J118" s="172" t="s">
        <v>318</v>
      </c>
      <c r="K118" s="172" t="s">
        <v>407</v>
      </c>
      <c r="L118" s="172">
        <v>750</v>
      </c>
      <c r="M118" s="173">
        <v>1</v>
      </c>
      <c r="N118" s="173" t="s">
        <v>286</v>
      </c>
    </row>
    <row r="119" spans="1:14" s="174" customFormat="1" ht="55.5" customHeight="1">
      <c r="A119" s="171">
        <v>80</v>
      </c>
      <c r="B119" s="171" t="s">
        <v>278</v>
      </c>
      <c r="C119" s="171">
        <v>4500110453</v>
      </c>
      <c r="D119" s="171">
        <v>7700312051</v>
      </c>
      <c r="E119" s="172" t="s">
        <v>279</v>
      </c>
      <c r="F119" s="172" t="s">
        <v>280</v>
      </c>
      <c r="G119" s="172" t="s">
        <v>281</v>
      </c>
      <c r="H119" s="172" t="s">
        <v>298</v>
      </c>
      <c r="I119" s="172" t="s">
        <v>283</v>
      </c>
      <c r="J119" s="172" t="s">
        <v>318</v>
      </c>
      <c r="K119" s="172" t="s">
        <v>408</v>
      </c>
      <c r="L119" s="172">
        <v>750</v>
      </c>
      <c r="M119" s="173">
        <v>1</v>
      </c>
      <c r="N119" s="173" t="s">
        <v>286</v>
      </c>
    </row>
    <row r="120" spans="1:14" s="174" customFormat="1" ht="55.5" customHeight="1">
      <c r="A120" s="171">
        <v>80</v>
      </c>
      <c r="B120" s="171" t="s">
        <v>278</v>
      </c>
      <c r="C120" s="171">
        <v>4500110453</v>
      </c>
      <c r="D120" s="171">
        <v>7700312051</v>
      </c>
      <c r="E120" s="172" t="s">
        <v>279</v>
      </c>
      <c r="F120" s="172" t="s">
        <v>280</v>
      </c>
      <c r="G120" s="172" t="s">
        <v>281</v>
      </c>
      <c r="H120" s="172" t="s">
        <v>298</v>
      </c>
      <c r="I120" s="172" t="s">
        <v>283</v>
      </c>
      <c r="J120" s="172" t="s">
        <v>318</v>
      </c>
      <c r="K120" s="172" t="s">
        <v>409</v>
      </c>
      <c r="L120" s="172">
        <v>750</v>
      </c>
      <c r="M120" s="173">
        <v>1</v>
      </c>
      <c r="N120" s="173" t="s">
        <v>286</v>
      </c>
    </row>
    <row r="121" spans="1:14" s="174" customFormat="1" ht="55.5" customHeight="1">
      <c r="A121" s="171">
        <v>80</v>
      </c>
      <c r="B121" s="171" t="s">
        <v>278</v>
      </c>
      <c r="C121" s="171">
        <v>4500110453</v>
      </c>
      <c r="D121" s="171">
        <v>7700312051</v>
      </c>
      <c r="E121" s="172" t="s">
        <v>279</v>
      </c>
      <c r="F121" s="172" t="s">
        <v>280</v>
      </c>
      <c r="G121" s="172" t="s">
        <v>281</v>
      </c>
      <c r="H121" s="172" t="s">
        <v>298</v>
      </c>
      <c r="I121" s="172" t="s">
        <v>283</v>
      </c>
      <c r="J121" s="172" t="s">
        <v>318</v>
      </c>
      <c r="K121" s="172" t="s">
        <v>410</v>
      </c>
      <c r="L121" s="172">
        <v>750</v>
      </c>
      <c r="M121" s="173">
        <v>1</v>
      </c>
      <c r="N121" s="173" t="s">
        <v>286</v>
      </c>
    </row>
    <row r="122" spans="1:14" s="174" customFormat="1" ht="55.5" customHeight="1">
      <c r="A122" s="171">
        <v>80</v>
      </c>
      <c r="B122" s="171" t="s">
        <v>278</v>
      </c>
      <c r="C122" s="171">
        <v>4500110453</v>
      </c>
      <c r="D122" s="171">
        <v>7700312051</v>
      </c>
      <c r="E122" s="172" t="s">
        <v>279</v>
      </c>
      <c r="F122" s="172" t="s">
        <v>280</v>
      </c>
      <c r="G122" s="172" t="s">
        <v>281</v>
      </c>
      <c r="H122" s="172" t="s">
        <v>298</v>
      </c>
      <c r="I122" s="172" t="s">
        <v>283</v>
      </c>
      <c r="J122" s="172" t="s">
        <v>318</v>
      </c>
      <c r="K122" s="172" t="s">
        <v>411</v>
      </c>
      <c r="L122" s="172">
        <v>750</v>
      </c>
      <c r="M122" s="173">
        <v>1</v>
      </c>
      <c r="N122" s="173" t="s">
        <v>286</v>
      </c>
    </row>
    <row r="123" spans="1:14" s="174" customFormat="1" ht="55.5" customHeight="1">
      <c r="A123" s="171">
        <v>80</v>
      </c>
      <c r="B123" s="171" t="s">
        <v>278</v>
      </c>
      <c r="C123" s="171">
        <v>4500110453</v>
      </c>
      <c r="D123" s="171">
        <v>7700312051</v>
      </c>
      <c r="E123" s="172" t="s">
        <v>279</v>
      </c>
      <c r="F123" s="172" t="s">
        <v>280</v>
      </c>
      <c r="G123" s="172" t="s">
        <v>281</v>
      </c>
      <c r="H123" s="172" t="s">
        <v>298</v>
      </c>
      <c r="I123" s="172" t="s">
        <v>283</v>
      </c>
      <c r="J123" s="172" t="s">
        <v>318</v>
      </c>
      <c r="K123" s="172" t="s">
        <v>412</v>
      </c>
      <c r="L123" s="172">
        <v>750</v>
      </c>
      <c r="M123" s="173">
        <v>1</v>
      </c>
      <c r="N123" s="173" t="s">
        <v>286</v>
      </c>
    </row>
    <row r="124" spans="1:14" s="174" customFormat="1" ht="55.5" customHeight="1">
      <c r="A124" s="171">
        <v>80</v>
      </c>
      <c r="B124" s="171" t="s">
        <v>278</v>
      </c>
      <c r="C124" s="171">
        <v>4500110453</v>
      </c>
      <c r="D124" s="171">
        <v>7700312051</v>
      </c>
      <c r="E124" s="172" t="s">
        <v>279</v>
      </c>
      <c r="F124" s="172" t="s">
        <v>280</v>
      </c>
      <c r="G124" s="172" t="s">
        <v>281</v>
      </c>
      <c r="H124" s="172" t="s">
        <v>298</v>
      </c>
      <c r="I124" s="172" t="s">
        <v>283</v>
      </c>
      <c r="J124" s="172" t="s">
        <v>318</v>
      </c>
      <c r="K124" s="172" t="s">
        <v>413</v>
      </c>
      <c r="L124" s="172">
        <v>750</v>
      </c>
      <c r="M124" s="173">
        <v>1</v>
      </c>
      <c r="N124" s="173" t="s">
        <v>286</v>
      </c>
    </row>
    <row r="125" spans="1:14" s="174" customFormat="1" ht="55.5" customHeight="1">
      <c r="A125" s="171">
        <v>80</v>
      </c>
      <c r="B125" s="171" t="s">
        <v>278</v>
      </c>
      <c r="C125" s="171">
        <v>4500110453</v>
      </c>
      <c r="D125" s="171">
        <v>7700312051</v>
      </c>
      <c r="E125" s="172" t="s">
        <v>279</v>
      </c>
      <c r="F125" s="172" t="s">
        <v>280</v>
      </c>
      <c r="G125" s="172" t="s">
        <v>281</v>
      </c>
      <c r="H125" s="172" t="s">
        <v>298</v>
      </c>
      <c r="I125" s="172" t="s">
        <v>283</v>
      </c>
      <c r="J125" s="172" t="s">
        <v>318</v>
      </c>
      <c r="K125" s="172" t="s">
        <v>414</v>
      </c>
      <c r="L125" s="172">
        <v>750</v>
      </c>
      <c r="M125" s="173">
        <v>1</v>
      </c>
      <c r="N125" s="173" t="s">
        <v>286</v>
      </c>
    </row>
    <row r="126" spans="1:14" s="174" customFormat="1" ht="55.5" customHeight="1">
      <c r="A126" s="171">
        <v>80</v>
      </c>
      <c r="B126" s="171" t="s">
        <v>278</v>
      </c>
      <c r="C126" s="171">
        <v>4500110453</v>
      </c>
      <c r="D126" s="171">
        <v>7700312051</v>
      </c>
      <c r="E126" s="172" t="s">
        <v>279</v>
      </c>
      <c r="F126" s="172" t="s">
        <v>280</v>
      </c>
      <c r="G126" s="172" t="s">
        <v>281</v>
      </c>
      <c r="H126" s="172" t="s">
        <v>298</v>
      </c>
      <c r="I126" s="172" t="s">
        <v>283</v>
      </c>
      <c r="J126" s="172" t="s">
        <v>318</v>
      </c>
      <c r="K126" s="172" t="s">
        <v>415</v>
      </c>
      <c r="L126" s="172">
        <v>750</v>
      </c>
      <c r="M126" s="173">
        <v>1</v>
      </c>
      <c r="N126" s="173" t="s">
        <v>286</v>
      </c>
    </row>
    <row r="127" spans="1:14" s="174" customFormat="1" ht="55.5" customHeight="1">
      <c r="A127" s="171">
        <v>80</v>
      </c>
      <c r="B127" s="171" t="s">
        <v>278</v>
      </c>
      <c r="C127" s="171">
        <v>4500110453</v>
      </c>
      <c r="D127" s="171">
        <v>7700312051</v>
      </c>
      <c r="E127" s="172" t="s">
        <v>279</v>
      </c>
      <c r="F127" s="172" t="s">
        <v>280</v>
      </c>
      <c r="G127" s="172" t="s">
        <v>281</v>
      </c>
      <c r="H127" s="172" t="s">
        <v>298</v>
      </c>
      <c r="I127" s="172" t="s">
        <v>283</v>
      </c>
      <c r="J127" s="172" t="s">
        <v>318</v>
      </c>
      <c r="K127" s="172" t="s">
        <v>416</v>
      </c>
      <c r="L127" s="172">
        <v>750</v>
      </c>
      <c r="M127" s="173">
        <v>1</v>
      </c>
      <c r="N127" s="173" t="s">
        <v>286</v>
      </c>
    </row>
    <row r="128" spans="1:14" s="174" customFormat="1" ht="55.5" customHeight="1">
      <c r="A128" s="171">
        <v>80</v>
      </c>
      <c r="B128" s="171" t="s">
        <v>278</v>
      </c>
      <c r="C128" s="171">
        <v>4500110453</v>
      </c>
      <c r="D128" s="171">
        <v>7700312051</v>
      </c>
      <c r="E128" s="172" t="s">
        <v>279</v>
      </c>
      <c r="F128" s="172" t="s">
        <v>280</v>
      </c>
      <c r="G128" s="172" t="s">
        <v>281</v>
      </c>
      <c r="H128" s="172" t="s">
        <v>298</v>
      </c>
      <c r="I128" s="172" t="s">
        <v>283</v>
      </c>
      <c r="J128" s="172" t="s">
        <v>318</v>
      </c>
      <c r="K128" s="172" t="s">
        <v>417</v>
      </c>
      <c r="L128" s="172">
        <v>750</v>
      </c>
      <c r="M128" s="173">
        <v>1</v>
      </c>
      <c r="N128" s="173" t="s">
        <v>286</v>
      </c>
    </row>
    <row r="129" spans="1:14" s="174" customFormat="1" ht="55.5" customHeight="1">
      <c r="A129" s="171">
        <v>80</v>
      </c>
      <c r="B129" s="171" t="s">
        <v>278</v>
      </c>
      <c r="C129" s="171">
        <v>4500110453</v>
      </c>
      <c r="D129" s="171">
        <v>7700312051</v>
      </c>
      <c r="E129" s="172" t="s">
        <v>279</v>
      </c>
      <c r="F129" s="172" t="s">
        <v>280</v>
      </c>
      <c r="G129" s="172" t="s">
        <v>281</v>
      </c>
      <c r="H129" s="172" t="s">
        <v>298</v>
      </c>
      <c r="I129" s="172" t="s">
        <v>283</v>
      </c>
      <c r="J129" s="172" t="s">
        <v>318</v>
      </c>
      <c r="K129" s="172" t="s">
        <v>418</v>
      </c>
      <c r="L129" s="172">
        <v>750</v>
      </c>
      <c r="M129" s="173">
        <v>1</v>
      </c>
      <c r="N129" s="173" t="s">
        <v>286</v>
      </c>
    </row>
    <row r="130" spans="1:14" s="174" customFormat="1" ht="55.5" customHeight="1">
      <c r="A130" s="171">
        <v>80</v>
      </c>
      <c r="B130" s="171" t="s">
        <v>278</v>
      </c>
      <c r="C130" s="171">
        <v>4500110453</v>
      </c>
      <c r="D130" s="171">
        <v>7700312051</v>
      </c>
      <c r="E130" s="172" t="s">
        <v>279</v>
      </c>
      <c r="F130" s="172" t="s">
        <v>280</v>
      </c>
      <c r="G130" s="172" t="s">
        <v>281</v>
      </c>
      <c r="H130" s="172" t="s">
        <v>298</v>
      </c>
      <c r="I130" s="172" t="s">
        <v>283</v>
      </c>
      <c r="J130" s="172" t="s">
        <v>318</v>
      </c>
      <c r="K130" s="172" t="s">
        <v>419</v>
      </c>
      <c r="L130" s="172">
        <v>750</v>
      </c>
      <c r="M130" s="173">
        <v>1</v>
      </c>
      <c r="N130" s="173" t="str">
        <f>_xlfn.XLOOKUP(K130,'[1]From CDC site verification P1 '!D:D,'[1]From CDC site verification P1 '!E:E,0,0)</f>
        <v>13-4034-BV-0133</v>
      </c>
    </row>
    <row r="131" spans="1:14" s="174" customFormat="1" ht="55.5" customHeight="1">
      <c r="A131" s="171">
        <v>80</v>
      </c>
      <c r="B131" s="171" t="s">
        <v>278</v>
      </c>
      <c r="C131" s="171">
        <v>4500110453</v>
      </c>
      <c r="D131" s="171">
        <v>7700312051</v>
      </c>
      <c r="E131" s="172" t="s">
        <v>279</v>
      </c>
      <c r="F131" s="172" t="s">
        <v>280</v>
      </c>
      <c r="G131" s="172" t="s">
        <v>281</v>
      </c>
      <c r="H131" s="172" t="s">
        <v>298</v>
      </c>
      <c r="I131" s="172" t="s">
        <v>283</v>
      </c>
      <c r="J131" s="172" t="s">
        <v>318</v>
      </c>
      <c r="K131" s="172" t="s">
        <v>420</v>
      </c>
      <c r="L131" s="172">
        <v>750</v>
      </c>
      <c r="M131" s="173">
        <v>1</v>
      </c>
      <c r="N131" s="173" t="str">
        <f>_xlfn.XLOOKUP(K131,'[1]From CDC site verification P1 '!D:D,'[1]From CDC site verification P1 '!E:E,0,0)</f>
        <v>13-4034-BV-0173</v>
      </c>
    </row>
    <row r="132" spans="1:14" s="174" customFormat="1" ht="55.5" customHeight="1">
      <c r="A132" s="171">
        <v>80</v>
      </c>
      <c r="B132" s="171" t="s">
        <v>278</v>
      </c>
      <c r="C132" s="171">
        <v>4500110453</v>
      </c>
      <c r="D132" s="171">
        <v>7700312051</v>
      </c>
      <c r="E132" s="172" t="s">
        <v>279</v>
      </c>
      <c r="F132" s="172" t="s">
        <v>280</v>
      </c>
      <c r="G132" s="172" t="s">
        <v>281</v>
      </c>
      <c r="H132" s="172" t="s">
        <v>298</v>
      </c>
      <c r="I132" s="172" t="s">
        <v>283</v>
      </c>
      <c r="J132" s="172" t="s">
        <v>318</v>
      </c>
      <c r="K132" s="172" t="s">
        <v>421</v>
      </c>
      <c r="L132" s="172">
        <v>750</v>
      </c>
      <c r="M132" s="173">
        <v>1</v>
      </c>
      <c r="N132" s="173" t="s">
        <v>286</v>
      </c>
    </row>
    <row r="133" spans="1:14" s="174" customFormat="1" ht="55.5" customHeight="1">
      <c r="A133" s="171">
        <v>80</v>
      </c>
      <c r="B133" s="171" t="s">
        <v>278</v>
      </c>
      <c r="C133" s="171">
        <v>4500110453</v>
      </c>
      <c r="D133" s="171">
        <v>7700312051</v>
      </c>
      <c r="E133" s="172" t="s">
        <v>279</v>
      </c>
      <c r="F133" s="172" t="s">
        <v>280</v>
      </c>
      <c r="G133" s="172" t="s">
        <v>281</v>
      </c>
      <c r="H133" s="172" t="s">
        <v>298</v>
      </c>
      <c r="I133" s="172" t="s">
        <v>283</v>
      </c>
      <c r="J133" s="172" t="s">
        <v>318</v>
      </c>
      <c r="K133" s="172" t="s">
        <v>422</v>
      </c>
      <c r="L133" s="172">
        <v>750</v>
      </c>
      <c r="M133" s="173">
        <v>1</v>
      </c>
      <c r="N133" s="173" t="str">
        <f>_xlfn.XLOOKUP(K133,'[1]From CDC site verification P1 '!D:D,'[1]From CDC site verification P1 '!E:E,0,0)</f>
        <v>13-4034-BV-0051</v>
      </c>
    </row>
    <row r="134" spans="1:14" s="174" customFormat="1" ht="55.5" customHeight="1">
      <c r="A134" s="171">
        <v>80</v>
      </c>
      <c r="B134" s="171" t="s">
        <v>278</v>
      </c>
      <c r="C134" s="171">
        <v>4500110453</v>
      </c>
      <c r="D134" s="171">
        <v>7700312051</v>
      </c>
      <c r="E134" s="172" t="s">
        <v>279</v>
      </c>
      <c r="F134" s="172" t="s">
        <v>280</v>
      </c>
      <c r="G134" s="172" t="s">
        <v>281</v>
      </c>
      <c r="H134" s="172" t="s">
        <v>298</v>
      </c>
      <c r="I134" s="172" t="s">
        <v>283</v>
      </c>
      <c r="J134" s="172" t="s">
        <v>318</v>
      </c>
      <c r="K134" s="172" t="s">
        <v>423</v>
      </c>
      <c r="L134" s="172">
        <v>750</v>
      </c>
      <c r="M134" s="173">
        <v>1</v>
      </c>
      <c r="N134" s="173" t="s">
        <v>286</v>
      </c>
    </row>
    <row r="135" spans="1:14" s="174" customFormat="1" ht="55.5" customHeight="1">
      <c r="A135" s="171">
        <v>80</v>
      </c>
      <c r="B135" s="171" t="s">
        <v>278</v>
      </c>
      <c r="C135" s="171">
        <v>4500110453</v>
      </c>
      <c r="D135" s="171">
        <v>7700312051</v>
      </c>
      <c r="E135" s="172" t="s">
        <v>279</v>
      </c>
      <c r="F135" s="172" t="s">
        <v>280</v>
      </c>
      <c r="G135" s="172" t="s">
        <v>281</v>
      </c>
      <c r="H135" s="172" t="s">
        <v>298</v>
      </c>
      <c r="I135" s="172" t="s">
        <v>283</v>
      </c>
      <c r="J135" s="172" t="s">
        <v>318</v>
      </c>
      <c r="K135" s="172" t="s">
        <v>424</v>
      </c>
      <c r="L135" s="172">
        <v>750</v>
      </c>
      <c r="M135" s="173">
        <v>1</v>
      </c>
      <c r="N135" s="173" t="s">
        <v>286</v>
      </c>
    </row>
    <row r="136" spans="1:14" s="174" customFormat="1" ht="55.5" customHeight="1">
      <c r="A136" s="171">
        <v>80</v>
      </c>
      <c r="B136" s="171" t="s">
        <v>278</v>
      </c>
      <c r="C136" s="171">
        <v>4500110453</v>
      </c>
      <c r="D136" s="171">
        <v>7700312051</v>
      </c>
      <c r="E136" s="172" t="s">
        <v>279</v>
      </c>
      <c r="F136" s="172" t="s">
        <v>280</v>
      </c>
      <c r="G136" s="172" t="s">
        <v>281</v>
      </c>
      <c r="H136" s="172" t="s">
        <v>298</v>
      </c>
      <c r="I136" s="172" t="s">
        <v>283</v>
      </c>
      <c r="J136" s="172" t="s">
        <v>318</v>
      </c>
      <c r="K136" s="172" t="s">
        <v>425</v>
      </c>
      <c r="L136" s="172">
        <v>750</v>
      </c>
      <c r="M136" s="173">
        <v>1</v>
      </c>
      <c r="N136" s="173" t="str">
        <f>_xlfn.XLOOKUP(K136,'[1]From CDC site verification P1 '!D:D,'[1]From CDC site verification P1 '!E:E,0,0)</f>
        <v>13-4034-BV-0037</v>
      </c>
    </row>
    <row r="137" spans="1:14" s="174" customFormat="1" ht="55.5" customHeight="1">
      <c r="A137" s="171">
        <v>80</v>
      </c>
      <c r="B137" s="171" t="s">
        <v>278</v>
      </c>
      <c r="C137" s="171">
        <v>4500110453</v>
      </c>
      <c r="D137" s="171">
        <v>7700312051</v>
      </c>
      <c r="E137" s="172" t="s">
        <v>279</v>
      </c>
      <c r="F137" s="172" t="s">
        <v>280</v>
      </c>
      <c r="G137" s="172" t="s">
        <v>281</v>
      </c>
      <c r="H137" s="172" t="s">
        <v>298</v>
      </c>
      <c r="I137" s="172" t="s">
        <v>283</v>
      </c>
      <c r="J137" s="172" t="s">
        <v>318</v>
      </c>
      <c r="K137" s="172" t="s">
        <v>426</v>
      </c>
      <c r="L137" s="172">
        <v>750</v>
      </c>
      <c r="M137" s="173">
        <v>1</v>
      </c>
      <c r="N137" s="173" t="s">
        <v>286</v>
      </c>
    </row>
    <row r="138" spans="1:14" s="174" customFormat="1" ht="55.5" customHeight="1">
      <c r="A138" s="171">
        <v>80</v>
      </c>
      <c r="B138" s="171" t="s">
        <v>278</v>
      </c>
      <c r="C138" s="171">
        <v>4500110453</v>
      </c>
      <c r="D138" s="171">
        <v>7700312051</v>
      </c>
      <c r="E138" s="172" t="s">
        <v>279</v>
      </c>
      <c r="F138" s="172" t="s">
        <v>280</v>
      </c>
      <c r="G138" s="172" t="s">
        <v>281</v>
      </c>
      <c r="H138" s="172" t="s">
        <v>298</v>
      </c>
      <c r="I138" s="172" t="s">
        <v>283</v>
      </c>
      <c r="J138" s="172" t="s">
        <v>318</v>
      </c>
      <c r="K138" s="172" t="s">
        <v>427</v>
      </c>
      <c r="L138" s="172">
        <v>750</v>
      </c>
      <c r="M138" s="173">
        <v>1</v>
      </c>
      <c r="N138" s="173" t="str">
        <f>_xlfn.XLOOKUP(K138,'[1]From CDC site verification P1 '!D:D,'[1]From CDC site verification P1 '!E:E,0,0)</f>
        <v>13-4034-BV-0175</v>
      </c>
    </row>
    <row r="139" spans="1:14" s="174" customFormat="1" ht="55.5" customHeight="1">
      <c r="A139" s="171">
        <v>80</v>
      </c>
      <c r="B139" s="171" t="s">
        <v>278</v>
      </c>
      <c r="C139" s="171">
        <v>4500110453</v>
      </c>
      <c r="D139" s="171">
        <v>7700312051</v>
      </c>
      <c r="E139" s="172" t="s">
        <v>279</v>
      </c>
      <c r="F139" s="172" t="s">
        <v>280</v>
      </c>
      <c r="G139" s="172" t="s">
        <v>281</v>
      </c>
      <c r="H139" s="172" t="s">
        <v>298</v>
      </c>
      <c r="I139" s="172" t="s">
        <v>283</v>
      </c>
      <c r="J139" s="172" t="s">
        <v>318</v>
      </c>
      <c r="K139" s="172" t="s">
        <v>428</v>
      </c>
      <c r="L139" s="172">
        <v>750</v>
      </c>
      <c r="M139" s="173">
        <v>1</v>
      </c>
      <c r="N139" s="173" t="s">
        <v>286</v>
      </c>
    </row>
    <row r="140" spans="1:14" s="174" customFormat="1" ht="55.5" customHeight="1">
      <c r="A140" s="171">
        <v>80</v>
      </c>
      <c r="B140" s="171" t="s">
        <v>278</v>
      </c>
      <c r="C140" s="171">
        <v>4500110453</v>
      </c>
      <c r="D140" s="171">
        <v>7700312051</v>
      </c>
      <c r="E140" s="172" t="s">
        <v>279</v>
      </c>
      <c r="F140" s="172" t="s">
        <v>280</v>
      </c>
      <c r="G140" s="172" t="s">
        <v>281</v>
      </c>
      <c r="H140" s="172" t="s">
        <v>298</v>
      </c>
      <c r="I140" s="172" t="s">
        <v>283</v>
      </c>
      <c r="J140" s="172" t="s">
        <v>318</v>
      </c>
      <c r="K140" s="172" t="s">
        <v>429</v>
      </c>
      <c r="L140" s="172">
        <v>750</v>
      </c>
      <c r="M140" s="173">
        <v>1</v>
      </c>
      <c r="N140" s="173" t="s">
        <v>286</v>
      </c>
    </row>
    <row r="141" spans="1:14" s="174" customFormat="1" ht="55.5" customHeight="1">
      <c r="A141" s="171">
        <v>80</v>
      </c>
      <c r="B141" s="171" t="s">
        <v>278</v>
      </c>
      <c r="C141" s="171">
        <v>4500110453</v>
      </c>
      <c r="D141" s="171">
        <v>7700312051</v>
      </c>
      <c r="E141" s="172" t="s">
        <v>279</v>
      </c>
      <c r="F141" s="172" t="s">
        <v>280</v>
      </c>
      <c r="G141" s="172" t="s">
        <v>281</v>
      </c>
      <c r="H141" s="172" t="s">
        <v>298</v>
      </c>
      <c r="I141" s="172" t="s">
        <v>283</v>
      </c>
      <c r="J141" s="172" t="s">
        <v>318</v>
      </c>
      <c r="K141" s="172" t="s">
        <v>430</v>
      </c>
      <c r="L141" s="172">
        <v>750</v>
      </c>
      <c r="M141" s="173">
        <v>1</v>
      </c>
      <c r="N141" s="173" t="s">
        <v>286</v>
      </c>
    </row>
    <row r="142" spans="1:14" s="174" customFormat="1" ht="55.5" customHeight="1">
      <c r="A142" s="171">
        <v>80</v>
      </c>
      <c r="B142" s="171" t="s">
        <v>278</v>
      </c>
      <c r="C142" s="171">
        <v>4500110453</v>
      </c>
      <c r="D142" s="171">
        <v>7700312051</v>
      </c>
      <c r="E142" s="172" t="s">
        <v>279</v>
      </c>
      <c r="F142" s="172" t="s">
        <v>280</v>
      </c>
      <c r="G142" s="172" t="s">
        <v>281</v>
      </c>
      <c r="H142" s="172" t="s">
        <v>298</v>
      </c>
      <c r="I142" s="172" t="s">
        <v>283</v>
      </c>
      <c r="J142" s="172" t="s">
        <v>318</v>
      </c>
      <c r="K142" s="172" t="s">
        <v>431</v>
      </c>
      <c r="L142" s="172">
        <v>750</v>
      </c>
      <c r="M142" s="173">
        <v>1</v>
      </c>
      <c r="N142" s="173" t="str">
        <f>_xlfn.XLOOKUP(K142,'[1]From CDC site verification P1 '!D:D,'[1]From CDC site verification P1 '!E:E,0,0)</f>
        <v>13-4034-BV-0036</v>
      </c>
    </row>
    <row r="143" spans="1:14" s="174" customFormat="1" ht="55.5" customHeight="1">
      <c r="A143" s="171">
        <v>80</v>
      </c>
      <c r="B143" s="171" t="s">
        <v>278</v>
      </c>
      <c r="C143" s="171">
        <v>4500110453</v>
      </c>
      <c r="D143" s="171">
        <v>7700312051</v>
      </c>
      <c r="E143" s="172" t="s">
        <v>279</v>
      </c>
      <c r="F143" s="172" t="s">
        <v>280</v>
      </c>
      <c r="G143" s="172" t="s">
        <v>281</v>
      </c>
      <c r="H143" s="172" t="s">
        <v>298</v>
      </c>
      <c r="I143" s="172" t="s">
        <v>283</v>
      </c>
      <c r="J143" s="172" t="s">
        <v>318</v>
      </c>
      <c r="K143" s="172" t="s">
        <v>432</v>
      </c>
      <c r="L143" s="172">
        <v>750</v>
      </c>
      <c r="M143" s="173">
        <v>1</v>
      </c>
      <c r="N143" s="173" t="s">
        <v>286</v>
      </c>
    </row>
    <row r="144" spans="1:14" s="174" customFormat="1" ht="55.5" customHeight="1">
      <c r="A144" s="171">
        <v>80</v>
      </c>
      <c r="B144" s="171" t="s">
        <v>278</v>
      </c>
      <c r="C144" s="171">
        <v>4500110453</v>
      </c>
      <c r="D144" s="171">
        <v>7700312051</v>
      </c>
      <c r="E144" s="172" t="s">
        <v>279</v>
      </c>
      <c r="F144" s="172" t="s">
        <v>280</v>
      </c>
      <c r="G144" s="172" t="s">
        <v>281</v>
      </c>
      <c r="H144" s="172" t="s">
        <v>298</v>
      </c>
      <c r="I144" s="172" t="s">
        <v>283</v>
      </c>
      <c r="J144" s="172" t="s">
        <v>318</v>
      </c>
      <c r="K144" s="172" t="s">
        <v>433</v>
      </c>
      <c r="L144" s="172">
        <v>750</v>
      </c>
      <c r="M144" s="173">
        <v>1</v>
      </c>
      <c r="N144" s="173" t="s">
        <v>286</v>
      </c>
    </row>
    <row r="145" spans="1:14" s="174" customFormat="1" ht="55.5" customHeight="1">
      <c r="A145" s="171">
        <v>80</v>
      </c>
      <c r="B145" s="171" t="s">
        <v>278</v>
      </c>
      <c r="C145" s="171">
        <v>4500110453</v>
      </c>
      <c r="D145" s="171">
        <v>7700312051</v>
      </c>
      <c r="E145" s="172" t="s">
        <v>279</v>
      </c>
      <c r="F145" s="172" t="s">
        <v>280</v>
      </c>
      <c r="G145" s="172" t="s">
        <v>281</v>
      </c>
      <c r="H145" s="172" t="s">
        <v>298</v>
      </c>
      <c r="I145" s="172" t="s">
        <v>283</v>
      </c>
      <c r="J145" s="172" t="s">
        <v>318</v>
      </c>
      <c r="K145" s="172" t="s">
        <v>434</v>
      </c>
      <c r="L145" s="172">
        <v>750</v>
      </c>
      <c r="M145" s="173">
        <v>1</v>
      </c>
      <c r="N145" s="173" t="str">
        <f>_xlfn.XLOOKUP(K145,'[1]From CDC site verification P1 '!D:D,'[1]From CDC site verification P1 '!E:E,0,0)</f>
        <v>13-4034-BV-0118</v>
      </c>
    </row>
    <row r="146" spans="1:14" s="174" customFormat="1" ht="55.5" customHeight="1">
      <c r="A146" s="171">
        <v>80</v>
      </c>
      <c r="B146" s="171" t="s">
        <v>278</v>
      </c>
      <c r="C146" s="171">
        <v>4500110453</v>
      </c>
      <c r="D146" s="171">
        <v>7700312051</v>
      </c>
      <c r="E146" s="172" t="s">
        <v>279</v>
      </c>
      <c r="F146" s="172" t="s">
        <v>280</v>
      </c>
      <c r="G146" s="172" t="s">
        <v>281</v>
      </c>
      <c r="H146" s="172" t="s">
        <v>298</v>
      </c>
      <c r="I146" s="172" t="s">
        <v>283</v>
      </c>
      <c r="J146" s="172" t="s">
        <v>318</v>
      </c>
      <c r="K146" s="172" t="s">
        <v>435</v>
      </c>
      <c r="L146" s="172">
        <v>750</v>
      </c>
      <c r="M146" s="173">
        <v>1</v>
      </c>
      <c r="N146" s="173" t="s">
        <v>286</v>
      </c>
    </row>
    <row r="147" spans="1:14" s="174" customFormat="1" ht="55.5" customHeight="1">
      <c r="A147" s="171">
        <v>80</v>
      </c>
      <c r="B147" s="171" t="s">
        <v>278</v>
      </c>
      <c r="C147" s="171">
        <v>4500110453</v>
      </c>
      <c r="D147" s="171">
        <v>7700312051</v>
      </c>
      <c r="E147" s="172" t="s">
        <v>279</v>
      </c>
      <c r="F147" s="172" t="s">
        <v>280</v>
      </c>
      <c r="G147" s="172" t="s">
        <v>281</v>
      </c>
      <c r="H147" s="172" t="s">
        <v>298</v>
      </c>
      <c r="I147" s="172" t="s">
        <v>283</v>
      </c>
      <c r="J147" s="172" t="s">
        <v>318</v>
      </c>
      <c r="K147" s="172" t="s">
        <v>436</v>
      </c>
      <c r="L147" s="172">
        <v>750</v>
      </c>
      <c r="M147" s="173">
        <v>1</v>
      </c>
      <c r="N147" s="173" t="s">
        <v>286</v>
      </c>
    </row>
    <row r="148" spans="1:14" s="174" customFormat="1" ht="55.5" customHeight="1">
      <c r="A148" s="171">
        <v>80</v>
      </c>
      <c r="B148" s="171" t="s">
        <v>278</v>
      </c>
      <c r="C148" s="171">
        <v>4500110453</v>
      </c>
      <c r="D148" s="171">
        <v>7700312051</v>
      </c>
      <c r="E148" s="172" t="s">
        <v>279</v>
      </c>
      <c r="F148" s="172" t="s">
        <v>280</v>
      </c>
      <c r="G148" s="172" t="s">
        <v>281</v>
      </c>
      <c r="H148" s="172" t="s">
        <v>298</v>
      </c>
      <c r="I148" s="172" t="s">
        <v>283</v>
      </c>
      <c r="J148" s="172" t="s">
        <v>318</v>
      </c>
      <c r="K148" s="172" t="s">
        <v>437</v>
      </c>
      <c r="L148" s="172">
        <v>750</v>
      </c>
      <c r="M148" s="173">
        <v>1</v>
      </c>
      <c r="N148" s="173" t="s">
        <v>286</v>
      </c>
    </row>
    <row r="149" spans="1:14" s="174" customFormat="1" ht="55.5" customHeight="1">
      <c r="A149" s="171">
        <v>80</v>
      </c>
      <c r="B149" s="171" t="s">
        <v>278</v>
      </c>
      <c r="C149" s="171">
        <v>4500110453</v>
      </c>
      <c r="D149" s="171">
        <v>7700312051</v>
      </c>
      <c r="E149" s="172" t="s">
        <v>279</v>
      </c>
      <c r="F149" s="172" t="s">
        <v>280</v>
      </c>
      <c r="G149" s="172" t="s">
        <v>281</v>
      </c>
      <c r="H149" s="172" t="s">
        <v>298</v>
      </c>
      <c r="I149" s="172" t="s">
        <v>283</v>
      </c>
      <c r="J149" s="172" t="s">
        <v>318</v>
      </c>
      <c r="K149" s="172" t="s">
        <v>438</v>
      </c>
      <c r="L149" s="172">
        <v>750</v>
      </c>
      <c r="M149" s="173">
        <v>1</v>
      </c>
      <c r="N149" s="173" t="str">
        <f>_xlfn.XLOOKUP(K149,'[1]From CDC site verification P1 '!D:D,'[1]From CDC site verification P1 '!E:E,0,0)</f>
        <v>13-4034-BV-0146</v>
      </c>
    </row>
    <row r="150" spans="1:14" s="174" customFormat="1" ht="55.5" customHeight="1">
      <c r="A150" s="171">
        <v>80</v>
      </c>
      <c r="B150" s="171" t="s">
        <v>278</v>
      </c>
      <c r="C150" s="171">
        <v>4500110453</v>
      </c>
      <c r="D150" s="171">
        <v>7700312051</v>
      </c>
      <c r="E150" s="172" t="s">
        <v>279</v>
      </c>
      <c r="F150" s="172" t="s">
        <v>280</v>
      </c>
      <c r="G150" s="172" t="s">
        <v>281</v>
      </c>
      <c r="H150" s="172" t="s">
        <v>298</v>
      </c>
      <c r="I150" s="172" t="s">
        <v>283</v>
      </c>
      <c r="J150" s="172" t="s">
        <v>318</v>
      </c>
      <c r="K150" s="172" t="s">
        <v>439</v>
      </c>
      <c r="L150" s="172">
        <v>750</v>
      </c>
      <c r="M150" s="173">
        <v>1</v>
      </c>
      <c r="N150" s="173" t="s">
        <v>286</v>
      </c>
    </row>
    <row r="151" spans="1:14" s="174" customFormat="1" ht="55.5" customHeight="1">
      <c r="A151" s="171">
        <v>80</v>
      </c>
      <c r="B151" s="171" t="s">
        <v>278</v>
      </c>
      <c r="C151" s="171">
        <v>4500110453</v>
      </c>
      <c r="D151" s="171">
        <v>7700312051</v>
      </c>
      <c r="E151" s="172" t="s">
        <v>279</v>
      </c>
      <c r="F151" s="172" t="s">
        <v>280</v>
      </c>
      <c r="G151" s="172" t="s">
        <v>281</v>
      </c>
      <c r="H151" s="172" t="s">
        <v>298</v>
      </c>
      <c r="I151" s="172" t="s">
        <v>283</v>
      </c>
      <c r="J151" s="172" t="s">
        <v>318</v>
      </c>
      <c r="K151" s="172" t="s">
        <v>440</v>
      </c>
      <c r="L151" s="172">
        <v>750</v>
      </c>
      <c r="M151" s="173">
        <v>1</v>
      </c>
      <c r="N151" s="173" t="s">
        <v>286</v>
      </c>
    </row>
    <row r="152" spans="1:14" s="174" customFormat="1" ht="55.5" customHeight="1">
      <c r="A152" s="171">
        <v>80</v>
      </c>
      <c r="B152" s="171" t="s">
        <v>278</v>
      </c>
      <c r="C152" s="171">
        <v>4500110453</v>
      </c>
      <c r="D152" s="171">
        <v>7700312051</v>
      </c>
      <c r="E152" s="172" t="s">
        <v>279</v>
      </c>
      <c r="F152" s="172" t="s">
        <v>280</v>
      </c>
      <c r="G152" s="172" t="s">
        <v>281</v>
      </c>
      <c r="H152" s="172" t="s">
        <v>298</v>
      </c>
      <c r="I152" s="172" t="s">
        <v>283</v>
      </c>
      <c r="J152" s="172" t="s">
        <v>318</v>
      </c>
      <c r="K152" s="172" t="s">
        <v>441</v>
      </c>
      <c r="L152" s="172">
        <v>750</v>
      </c>
      <c r="M152" s="173">
        <v>1</v>
      </c>
      <c r="N152" s="173" t="s">
        <v>286</v>
      </c>
    </row>
    <row r="153" spans="1:14" s="174" customFormat="1" ht="55.5" customHeight="1">
      <c r="A153" s="171">
        <v>80</v>
      </c>
      <c r="B153" s="171" t="s">
        <v>278</v>
      </c>
      <c r="C153" s="171">
        <v>4500110453</v>
      </c>
      <c r="D153" s="171">
        <v>7700312051</v>
      </c>
      <c r="E153" s="172" t="s">
        <v>279</v>
      </c>
      <c r="F153" s="172" t="s">
        <v>280</v>
      </c>
      <c r="G153" s="172" t="s">
        <v>281</v>
      </c>
      <c r="H153" s="172" t="s">
        <v>298</v>
      </c>
      <c r="I153" s="172" t="s">
        <v>283</v>
      </c>
      <c r="J153" s="172" t="s">
        <v>318</v>
      </c>
      <c r="K153" s="172" t="s">
        <v>442</v>
      </c>
      <c r="L153" s="172">
        <v>750</v>
      </c>
      <c r="M153" s="173">
        <v>1</v>
      </c>
      <c r="N153" s="173" t="s">
        <v>286</v>
      </c>
    </row>
    <row r="154" spans="1:14" s="174" customFormat="1" ht="55.5" customHeight="1">
      <c r="A154" s="171">
        <v>80</v>
      </c>
      <c r="B154" s="171" t="s">
        <v>278</v>
      </c>
      <c r="C154" s="171">
        <v>4500110453</v>
      </c>
      <c r="D154" s="171">
        <v>7700312051</v>
      </c>
      <c r="E154" s="172" t="s">
        <v>279</v>
      </c>
      <c r="F154" s="172" t="s">
        <v>280</v>
      </c>
      <c r="G154" s="172" t="s">
        <v>281</v>
      </c>
      <c r="H154" s="172" t="s">
        <v>298</v>
      </c>
      <c r="I154" s="172" t="s">
        <v>283</v>
      </c>
      <c r="J154" s="172" t="s">
        <v>318</v>
      </c>
      <c r="K154" s="172" t="s">
        <v>443</v>
      </c>
      <c r="L154" s="172">
        <v>750</v>
      </c>
      <c r="M154" s="173">
        <v>1</v>
      </c>
      <c r="N154" s="173" t="s">
        <v>286</v>
      </c>
    </row>
    <row r="155" spans="1:14" s="174" customFormat="1" ht="55.5" customHeight="1">
      <c r="A155" s="171">
        <v>80</v>
      </c>
      <c r="B155" s="171" t="s">
        <v>278</v>
      </c>
      <c r="C155" s="171">
        <v>4500110453</v>
      </c>
      <c r="D155" s="171">
        <v>7700312051</v>
      </c>
      <c r="E155" s="172" t="s">
        <v>279</v>
      </c>
      <c r="F155" s="172" t="s">
        <v>280</v>
      </c>
      <c r="G155" s="172" t="s">
        <v>281</v>
      </c>
      <c r="H155" s="172" t="s">
        <v>298</v>
      </c>
      <c r="I155" s="172" t="s">
        <v>283</v>
      </c>
      <c r="J155" s="172" t="s">
        <v>318</v>
      </c>
      <c r="K155" s="172" t="s">
        <v>444</v>
      </c>
      <c r="L155" s="172">
        <v>750</v>
      </c>
      <c r="M155" s="173">
        <v>1</v>
      </c>
      <c r="N155" s="173" t="s">
        <v>286</v>
      </c>
    </row>
    <row r="156" spans="1:14" s="174" customFormat="1" ht="55.5" customHeight="1">
      <c r="A156" s="171">
        <v>80</v>
      </c>
      <c r="B156" s="171" t="s">
        <v>278</v>
      </c>
      <c r="C156" s="171">
        <v>4500110453</v>
      </c>
      <c r="D156" s="171">
        <v>7700312051</v>
      </c>
      <c r="E156" s="172" t="s">
        <v>279</v>
      </c>
      <c r="F156" s="172" t="s">
        <v>280</v>
      </c>
      <c r="G156" s="172" t="s">
        <v>281</v>
      </c>
      <c r="H156" s="172" t="s">
        <v>298</v>
      </c>
      <c r="I156" s="172" t="s">
        <v>283</v>
      </c>
      <c r="J156" s="172" t="s">
        <v>318</v>
      </c>
      <c r="K156" s="172" t="s">
        <v>445</v>
      </c>
      <c r="L156" s="172">
        <v>750</v>
      </c>
      <c r="M156" s="173">
        <v>1</v>
      </c>
      <c r="N156" s="173" t="s">
        <v>286</v>
      </c>
    </row>
    <row r="157" spans="1:14" s="174" customFormat="1" ht="55.5" customHeight="1">
      <c r="A157" s="171">
        <v>80</v>
      </c>
      <c r="B157" s="171" t="s">
        <v>278</v>
      </c>
      <c r="C157" s="171">
        <v>4500110453</v>
      </c>
      <c r="D157" s="171">
        <v>7700312051</v>
      </c>
      <c r="E157" s="172" t="s">
        <v>279</v>
      </c>
      <c r="F157" s="172" t="s">
        <v>280</v>
      </c>
      <c r="G157" s="172" t="s">
        <v>281</v>
      </c>
      <c r="H157" s="172" t="s">
        <v>298</v>
      </c>
      <c r="I157" s="172" t="s">
        <v>283</v>
      </c>
      <c r="J157" s="172" t="s">
        <v>318</v>
      </c>
      <c r="K157" s="172" t="s">
        <v>446</v>
      </c>
      <c r="L157" s="172">
        <v>750</v>
      </c>
      <c r="M157" s="173">
        <v>1</v>
      </c>
      <c r="N157" s="173" t="s">
        <v>286</v>
      </c>
    </row>
    <row r="158" spans="1:14" s="174" customFormat="1" ht="55.5" customHeight="1">
      <c r="A158" s="171">
        <v>80</v>
      </c>
      <c r="B158" s="171" t="s">
        <v>278</v>
      </c>
      <c r="C158" s="171">
        <v>4500110453</v>
      </c>
      <c r="D158" s="171">
        <v>7700312051</v>
      </c>
      <c r="E158" s="172" t="s">
        <v>279</v>
      </c>
      <c r="F158" s="172" t="s">
        <v>280</v>
      </c>
      <c r="G158" s="172" t="s">
        <v>281</v>
      </c>
      <c r="H158" s="172" t="s">
        <v>298</v>
      </c>
      <c r="I158" s="172" t="s">
        <v>283</v>
      </c>
      <c r="J158" s="172" t="s">
        <v>318</v>
      </c>
      <c r="K158" s="172" t="s">
        <v>447</v>
      </c>
      <c r="L158" s="172">
        <v>750</v>
      </c>
      <c r="M158" s="173">
        <v>1</v>
      </c>
      <c r="N158" s="173" t="s">
        <v>286</v>
      </c>
    </row>
    <row r="159" spans="1:14" s="174" customFormat="1" ht="55.5" customHeight="1">
      <c r="A159" s="171">
        <v>80</v>
      </c>
      <c r="B159" s="171" t="s">
        <v>278</v>
      </c>
      <c r="C159" s="171">
        <v>4500110453</v>
      </c>
      <c r="D159" s="171">
        <v>7700312051</v>
      </c>
      <c r="E159" s="172" t="s">
        <v>279</v>
      </c>
      <c r="F159" s="172" t="s">
        <v>280</v>
      </c>
      <c r="G159" s="172" t="s">
        <v>281</v>
      </c>
      <c r="H159" s="172" t="s">
        <v>298</v>
      </c>
      <c r="I159" s="172" t="s">
        <v>283</v>
      </c>
      <c r="J159" s="172" t="s">
        <v>318</v>
      </c>
      <c r="K159" s="172" t="s">
        <v>448</v>
      </c>
      <c r="L159" s="172">
        <v>750</v>
      </c>
      <c r="M159" s="173">
        <v>1</v>
      </c>
      <c r="N159" s="173" t="s">
        <v>286</v>
      </c>
    </row>
    <row r="160" spans="1:14" s="174" customFormat="1" ht="55.5" customHeight="1">
      <c r="A160" s="171">
        <v>90</v>
      </c>
      <c r="B160" s="171" t="s">
        <v>278</v>
      </c>
      <c r="C160" s="171">
        <v>4500110453</v>
      </c>
      <c r="D160" s="171">
        <v>7700373601</v>
      </c>
      <c r="E160" s="172" t="s">
        <v>279</v>
      </c>
      <c r="F160" s="172" t="s">
        <v>295</v>
      </c>
      <c r="G160" s="172" t="s">
        <v>281</v>
      </c>
      <c r="H160" s="172" t="s">
        <v>315</v>
      </c>
      <c r="I160" s="172" t="s">
        <v>283</v>
      </c>
      <c r="J160" s="172" t="s">
        <v>284</v>
      </c>
      <c r="K160" s="172" t="s">
        <v>449</v>
      </c>
      <c r="L160" s="172">
        <v>730</v>
      </c>
      <c r="M160" s="173">
        <v>1</v>
      </c>
      <c r="N160" s="173" t="s">
        <v>286</v>
      </c>
    </row>
    <row r="161" spans="1:14" s="174" customFormat="1" ht="55.5" customHeight="1">
      <c r="A161" s="171">
        <v>90</v>
      </c>
      <c r="B161" s="171" t="s">
        <v>278</v>
      </c>
      <c r="C161" s="171">
        <v>4500110453</v>
      </c>
      <c r="D161" s="171">
        <v>7700373601</v>
      </c>
      <c r="E161" s="172" t="s">
        <v>279</v>
      </c>
      <c r="F161" s="172" t="s">
        <v>295</v>
      </c>
      <c r="G161" s="172" t="s">
        <v>281</v>
      </c>
      <c r="H161" s="172" t="s">
        <v>315</v>
      </c>
      <c r="I161" s="172" t="s">
        <v>283</v>
      </c>
      <c r="J161" s="172" t="s">
        <v>284</v>
      </c>
      <c r="K161" s="172" t="s">
        <v>450</v>
      </c>
      <c r="L161" s="172">
        <v>730</v>
      </c>
      <c r="M161" s="173">
        <v>1</v>
      </c>
      <c r="N161" s="173" t="s">
        <v>286</v>
      </c>
    </row>
    <row r="162" spans="1:14" s="174" customFormat="1" ht="55.5" customHeight="1">
      <c r="A162" s="171">
        <v>90</v>
      </c>
      <c r="B162" s="171" t="s">
        <v>278</v>
      </c>
      <c r="C162" s="171">
        <v>4500110453</v>
      </c>
      <c r="D162" s="171">
        <v>7700373601</v>
      </c>
      <c r="E162" s="172" t="s">
        <v>279</v>
      </c>
      <c r="F162" s="172" t="s">
        <v>295</v>
      </c>
      <c r="G162" s="172" t="s">
        <v>281</v>
      </c>
      <c r="H162" s="172" t="s">
        <v>315</v>
      </c>
      <c r="I162" s="172" t="s">
        <v>283</v>
      </c>
      <c r="J162" s="172" t="s">
        <v>284</v>
      </c>
      <c r="K162" s="172" t="s">
        <v>451</v>
      </c>
      <c r="L162" s="172">
        <v>730</v>
      </c>
      <c r="M162" s="173">
        <v>1</v>
      </c>
      <c r="N162" s="173" t="s">
        <v>286</v>
      </c>
    </row>
    <row r="163" spans="1:14" s="174" customFormat="1" ht="55.5" customHeight="1">
      <c r="A163" s="171">
        <v>90</v>
      </c>
      <c r="B163" s="171" t="s">
        <v>278</v>
      </c>
      <c r="C163" s="171">
        <v>4500110453</v>
      </c>
      <c r="D163" s="171">
        <v>7700373601</v>
      </c>
      <c r="E163" s="172" t="s">
        <v>279</v>
      </c>
      <c r="F163" s="172" t="s">
        <v>295</v>
      </c>
      <c r="G163" s="172" t="s">
        <v>281</v>
      </c>
      <c r="H163" s="172" t="s">
        <v>315</v>
      </c>
      <c r="I163" s="172" t="s">
        <v>283</v>
      </c>
      <c r="J163" s="172" t="s">
        <v>284</v>
      </c>
      <c r="K163" s="172" t="s">
        <v>452</v>
      </c>
      <c r="L163" s="172">
        <v>730</v>
      </c>
      <c r="M163" s="173">
        <v>1</v>
      </c>
      <c r="N163" s="173" t="s">
        <v>286</v>
      </c>
    </row>
    <row r="164" spans="1:14" s="174" customFormat="1" ht="55.5" customHeight="1">
      <c r="A164" s="171">
        <v>100</v>
      </c>
      <c r="B164" s="171" t="s">
        <v>278</v>
      </c>
      <c r="C164" s="171">
        <v>4500110453</v>
      </c>
      <c r="D164" s="171">
        <v>7700375551</v>
      </c>
      <c r="E164" s="172" t="s">
        <v>279</v>
      </c>
      <c r="F164" s="172" t="s">
        <v>453</v>
      </c>
      <c r="G164" s="172" t="s">
        <v>281</v>
      </c>
      <c r="H164" s="172" t="s">
        <v>315</v>
      </c>
      <c r="I164" s="172" t="s">
        <v>283</v>
      </c>
      <c r="J164" s="172" t="s">
        <v>284</v>
      </c>
      <c r="K164" s="172" t="s">
        <v>454</v>
      </c>
      <c r="L164" s="172">
        <v>730</v>
      </c>
      <c r="M164" s="173">
        <v>1</v>
      </c>
      <c r="N164" s="173" t="s">
        <v>286</v>
      </c>
    </row>
    <row r="165" spans="1:14" s="174" customFormat="1" ht="55.5" customHeight="1">
      <c r="A165" s="171">
        <v>100</v>
      </c>
      <c r="B165" s="171" t="s">
        <v>278</v>
      </c>
      <c r="C165" s="171">
        <v>4500110453</v>
      </c>
      <c r="D165" s="171">
        <v>7700375551</v>
      </c>
      <c r="E165" s="172" t="s">
        <v>279</v>
      </c>
      <c r="F165" s="172" t="s">
        <v>453</v>
      </c>
      <c r="G165" s="172" t="s">
        <v>281</v>
      </c>
      <c r="H165" s="172" t="s">
        <v>315</v>
      </c>
      <c r="I165" s="172" t="s">
        <v>283</v>
      </c>
      <c r="J165" s="172" t="s">
        <v>284</v>
      </c>
      <c r="K165" s="172" t="s">
        <v>455</v>
      </c>
      <c r="L165" s="172">
        <v>730</v>
      </c>
      <c r="M165" s="173">
        <v>1</v>
      </c>
      <c r="N165" s="173" t="s">
        <v>286</v>
      </c>
    </row>
    <row r="166" spans="1:14" s="174" customFormat="1" ht="55.5" customHeight="1">
      <c r="A166" s="171">
        <v>100</v>
      </c>
      <c r="B166" s="171" t="s">
        <v>278</v>
      </c>
      <c r="C166" s="171">
        <v>4500110453</v>
      </c>
      <c r="D166" s="171">
        <v>7700375551</v>
      </c>
      <c r="E166" s="172" t="s">
        <v>279</v>
      </c>
      <c r="F166" s="172" t="s">
        <v>453</v>
      </c>
      <c r="G166" s="172" t="s">
        <v>281</v>
      </c>
      <c r="H166" s="172" t="s">
        <v>315</v>
      </c>
      <c r="I166" s="172" t="s">
        <v>283</v>
      </c>
      <c r="J166" s="172" t="s">
        <v>284</v>
      </c>
      <c r="K166" s="172" t="s">
        <v>456</v>
      </c>
      <c r="L166" s="172">
        <v>730</v>
      </c>
      <c r="M166" s="173">
        <v>1</v>
      </c>
      <c r="N166" s="173" t="s">
        <v>286</v>
      </c>
    </row>
    <row r="167" spans="1:14" s="174" customFormat="1" ht="55.5" customHeight="1">
      <c r="A167" s="171">
        <v>100</v>
      </c>
      <c r="B167" s="171" t="s">
        <v>278</v>
      </c>
      <c r="C167" s="171">
        <v>4500110453</v>
      </c>
      <c r="D167" s="171">
        <v>7700375551</v>
      </c>
      <c r="E167" s="172" t="s">
        <v>279</v>
      </c>
      <c r="F167" s="172" t="s">
        <v>453</v>
      </c>
      <c r="G167" s="172" t="s">
        <v>281</v>
      </c>
      <c r="H167" s="172" t="s">
        <v>315</v>
      </c>
      <c r="I167" s="172" t="s">
        <v>283</v>
      </c>
      <c r="J167" s="172" t="s">
        <v>284</v>
      </c>
      <c r="K167" s="172" t="s">
        <v>457</v>
      </c>
      <c r="L167" s="172">
        <v>730</v>
      </c>
      <c r="M167" s="173">
        <v>1</v>
      </c>
      <c r="N167" s="173" t="s">
        <v>286</v>
      </c>
    </row>
    <row r="168" spans="1:14" s="174" customFormat="1" ht="55.5" customHeight="1">
      <c r="A168" s="171">
        <v>100</v>
      </c>
      <c r="B168" s="171" t="s">
        <v>278</v>
      </c>
      <c r="C168" s="171">
        <v>4500110453</v>
      </c>
      <c r="D168" s="171">
        <v>7700375551</v>
      </c>
      <c r="E168" s="172" t="s">
        <v>279</v>
      </c>
      <c r="F168" s="172" t="s">
        <v>453</v>
      </c>
      <c r="G168" s="172" t="s">
        <v>281</v>
      </c>
      <c r="H168" s="172" t="s">
        <v>315</v>
      </c>
      <c r="I168" s="172" t="s">
        <v>283</v>
      </c>
      <c r="J168" s="172" t="s">
        <v>284</v>
      </c>
      <c r="K168" s="172" t="s">
        <v>458</v>
      </c>
      <c r="L168" s="172">
        <v>730</v>
      </c>
      <c r="M168" s="173">
        <v>1</v>
      </c>
      <c r="N168" s="173" t="s">
        <v>286</v>
      </c>
    </row>
    <row r="169" spans="1:14" s="174" customFormat="1" ht="55.5" customHeight="1">
      <c r="A169" s="171">
        <v>100</v>
      </c>
      <c r="B169" s="171" t="s">
        <v>278</v>
      </c>
      <c r="C169" s="171">
        <v>4500110453</v>
      </c>
      <c r="D169" s="171">
        <v>7700375551</v>
      </c>
      <c r="E169" s="172" t="s">
        <v>279</v>
      </c>
      <c r="F169" s="172" t="s">
        <v>453</v>
      </c>
      <c r="G169" s="172" t="s">
        <v>281</v>
      </c>
      <c r="H169" s="172" t="s">
        <v>315</v>
      </c>
      <c r="I169" s="172" t="s">
        <v>283</v>
      </c>
      <c r="J169" s="172" t="s">
        <v>284</v>
      </c>
      <c r="K169" s="172" t="s">
        <v>459</v>
      </c>
      <c r="L169" s="172">
        <v>730</v>
      </c>
      <c r="M169" s="173">
        <v>1</v>
      </c>
      <c r="N169" s="173" t="s">
        <v>286</v>
      </c>
    </row>
    <row r="170" spans="1:14" s="174" customFormat="1" ht="55.5" customHeight="1">
      <c r="A170" s="171">
        <v>100</v>
      </c>
      <c r="B170" s="171" t="s">
        <v>278</v>
      </c>
      <c r="C170" s="171">
        <v>4500110453</v>
      </c>
      <c r="D170" s="171">
        <v>7700375551</v>
      </c>
      <c r="E170" s="172" t="s">
        <v>279</v>
      </c>
      <c r="F170" s="172" t="s">
        <v>453</v>
      </c>
      <c r="G170" s="172" t="s">
        <v>281</v>
      </c>
      <c r="H170" s="172" t="s">
        <v>315</v>
      </c>
      <c r="I170" s="172" t="s">
        <v>283</v>
      </c>
      <c r="J170" s="172" t="s">
        <v>284</v>
      </c>
      <c r="K170" s="172" t="s">
        <v>460</v>
      </c>
      <c r="L170" s="172">
        <v>730</v>
      </c>
      <c r="M170" s="173">
        <v>1</v>
      </c>
      <c r="N170" s="173" t="s">
        <v>286</v>
      </c>
    </row>
    <row r="171" spans="1:14" s="174" customFormat="1" ht="55.5" customHeight="1">
      <c r="A171" s="171">
        <v>110</v>
      </c>
      <c r="B171" s="171" t="s">
        <v>278</v>
      </c>
      <c r="C171" s="171">
        <v>4500110453</v>
      </c>
      <c r="D171" s="171">
        <v>7700671601</v>
      </c>
      <c r="E171" s="172" t="s">
        <v>461</v>
      </c>
      <c r="F171" s="172" t="s">
        <v>295</v>
      </c>
      <c r="G171" s="172" t="s">
        <v>281</v>
      </c>
      <c r="H171" s="172" t="s">
        <v>462</v>
      </c>
      <c r="I171" s="172" t="s">
        <v>283</v>
      </c>
      <c r="J171" s="172" t="s">
        <v>284</v>
      </c>
      <c r="K171" s="172" t="s">
        <v>463</v>
      </c>
      <c r="L171" s="172">
        <v>7090</v>
      </c>
      <c r="M171" s="173">
        <v>1</v>
      </c>
      <c r="N171" s="173" t="s">
        <v>286</v>
      </c>
    </row>
    <row r="172" spans="1:14" s="174" customFormat="1" ht="55.5" customHeight="1">
      <c r="A172" s="171">
        <v>110</v>
      </c>
      <c r="B172" s="171" t="s">
        <v>278</v>
      </c>
      <c r="C172" s="171">
        <v>4500110453</v>
      </c>
      <c r="D172" s="171">
        <v>7700671601</v>
      </c>
      <c r="E172" s="172" t="s">
        <v>461</v>
      </c>
      <c r="F172" s="172" t="s">
        <v>295</v>
      </c>
      <c r="G172" s="172" t="s">
        <v>281</v>
      </c>
      <c r="H172" s="172" t="s">
        <v>462</v>
      </c>
      <c r="I172" s="172" t="s">
        <v>283</v>
      </c>
      <c r="J172" s="172" t="s">
        <v>284</v>
      </c>
      <c r="K172" s="172" t="s">
        <v>464</v>
      </c>
      <c r="L172" s="172">
        <v>7090</v>
      </c>
      <c r="M172" s="173">
        <v>1</v>
      </c>
      <c r="N172" s="173" t="s">
        <v>286</v>
      </c>
    </row>
    <row r="173" spans="1:14" s="174" customFormat="1" ht="55.5" customHeight="1">
      <c r="A173" s="171">
        <v>110</v>
      </c>
      <c r="B173" s="171" t="s">
        <v>278</v>
      </c>
      <c r="C173" s="171">
        <v>4500110453</v>
      </c>
      <c r="D173" s="171">
        <v>7700671601</v>
      </c>
      <c r="E173" s="172" t="s">
        <v>461</v>
      </c>
      <c r="F173" s="172" t="s">
        <v>295</v>
      </c>
      <c r="G173" s="172" t="s">
        <v>281</v>
      </c>
      <c r="H173" s="172" t="s">
        <v>462</v>
      </c>
      <c r="I173" s="172" t="s">
        <v>283</v>
      </c>
      <c r="J173" s="172" t="s">
        <v>284</v>
      </c>
      <c r="K173" s="172" t="s">
        <v>465</v>
      </c>
      <c r="L173" s="172">
        <v>7090</v>
      </c>
      <c r="M173" s="173">
        <v>1</v>
      </c>
      <c r="N173" s="173" t="str">
        <f>_xlfn.XLOOKUP(K173,'[1]From CDC site verification P1 '!D:D,'[1]From CDC site verification P1 '!E:E,0,0)</f>
        <v>13-4034-BV-0030</v>
      </c>
    </row>
    <row r="174" spans="1:14" s="174" customFormat="1" ht="55.5" customHeight="1">
      <c r="A174" s="171">
        <v>110</v>
      </c>
      <c r="B174" s="171" t="s">
        <v>278</v>
      </c>
      <c r="C174" s="171">
        <v>4500110453</v>
      </c>
      <c r="D174" s="171">
        <v>7700671601</v>
      </c>
      <c r="E174" s="172" t="s">
        <v>461</v>
      </c>
      <c r="F174" s="172" t="s">
        <v>295</v>
      </c>
      <c r="G174" s="172" t="s">
        <v>281</v>
      </c>
      <c r="H174" s="172" t="s">
        <v>462</v>
      </c>
      <c r="I174" s="172" t="s">
        <v>283</v>
      </c>
      <c r="J174" s="172" t="s">
        <v>284</v>
      </c>
      <c r="K174" s="172" t="s">
        <v>466</v>
      </c>
      <c r="L174" s="172">
        <v>7090</v>
      </c>
      <c r="M174" s="173">
        <v>1</v>
      </c>
      <c r="N174" s="173" t="s">
        <v>286</v>
      </c>
    </row>
    <row r="175" spans="1:14" s="174" customFormat="1" ht="55.5" customHeight="1">
      <c r="A175" s="171">
        <v>110</v>
      </c>
      <c r="B175" s="171" t="s">
        <v>278</v>
      </c>
      <c r="C175" s="171">
        <v>4500110453</v>
      </c>
      <c r="D175" s="171">
        <v>7700671601</v>
      </c>
      <c r="E175" s="172" t="s">
        <v>461</v>
      </c>
      <c r="F175" s="172" t="s">
        <v>295</v>
      </c>
      <c r="G175" s="172" t="s">
        <v>281</v>
      </c>
      <c r="H175" s="172" t="s">
        <v>462</v>
      </c>
      <c r="I175" s="172" t="s">
        <v>283</v>
      </c>
      <c r="J175" s="172" t="s">
        <v>284</v>
      </c>
      <c r="K175" s="172" t="s">
        <v>467</v>
      </c>
      <c r="L175" s="172">
        <v>7090</v>
      </c>
      <c r="M175" s="173">
        <v>1</v>
      </c>
      <c r="N175" s="173" t="str">
        <f>_xlfn.XLOOKUP(K175,'[1]From CDC site verification P1 '!D:D,'[1]From CDC site verification P1 '!E:E,0,0)</f>
        <v>13-4034-BV-0016</v>
      </c>
    </row>
    <row r="176" spans="1:14" s="174" customFormat="1" ht="55.5" customHeight="1">
      <c r="A176" s="171">
        <v>110</v>
      </c>
      <c r="B176" s="171" t="s">
        <v>278</v>
      </c>
      <c r="C176" s="171">
        <v>4500110453</v>
      </c>
      <c r="D176" s="171">
        <v>7700671601</v>
      </c>
      <c r="E176" s="172" t="s">
        <v>461</v>
      </c>
      <c r="F176" s="172" t="s">
        <v>295</v>
      </c>
      <c r="G176" s="172" t="s">
        <v>281</v>
      </c>
      <c r="H176" s="172" t="s">
        <v>462</v>
      </c>
      <c r="I176" s="172" t="s">
        <v>283</v>
      </c>
      <c r="J176" s="172" t="s">
        <v>284</v>
      </c>
      <c r="K176" s="172" t="s">
        <v>468</v>
      </c>
      <c r="L176" s="172">
        <v>7090</v>
      </c>
      <c r="M176" s="173">
        <v>1</v>
      </c>
      <c r="N176" s="173" t="str">
        <f>_xlfn.XLOOKUP(K176,'[1]From CDC site verification P1 '!D:D,'[1]From CDC site verification P1 '!E:E,0,0)</f>
        <v>13-4034-BV-0001</v>
      </c>
    </row>
    <row r="177" spans="1:14" s="174" customFormat="1" ht="55.5" customHeight="1">
      <c r="A177" s="171">
        <v>110</v>
      </c>
      <c r="B177" s="171" t="s">
        <v>278</v>
      </c>
      <c r="C177" s="171">
        <v>4500110453</v>
      </c>
      <c r="D177" s="171">
        <v>7700671601</v>
      </c>
      <c r="E177" s="172" t="s">
        <v>461</v>
      </c>
      <c r="F177" s="172" t="s">
        <v>295</v>
      </c>
      <c r="G177" s="172" t="s">
        <v>281</v>
      </c>
      <c r="H177" s="172" t="s">
        <v>462</v>
      </c>
      <c r="I177" s="172" t="s">
        <v>283</v>
      </c>
      <c r="J177" s="172" t="s">
        <v>284</v>
      </c>
      <c r="K177" s="172" t="s">
        <v>469</v>
      </c>
      <c r="L177" s="172">
        <v>7090</v>
      </c>
      <c r="M177" s="173">
        <v>1</v>
      </c>
      <c r="N177" s="173" t="str">
        <f>_xlfn.XLOOKUP(K177,'[1]From CDC site verification P1 '!D:D,'[1]From CDC site verification P1 '!E:E,0,0)</f>
        <v>13-4034-BV-0072</v>
      </c>
    </row>
    <row r="178" spans="1:14" s="174" customFormat="1" ht="55.5" customHeight="1">
      <c r="A178" s="171">
        <v>110</v>
      </c>
      <c r="B178" s="171" t="s">
        <v>278</v>
      </c>
      <c r="C178" s="171">
        <v>4500110453</v>
      </c>
      <c r="D178" s="171">
        <v>7700671601</v>
      </c>
      <c r="E178" s="172" t="s">
        <v>461</v>
      </c>
      <c r="F178" s="172" t="s">
        <v>295</v>
      </c>
      <c r="G178" s="172" t="s">
        <v>281</v>
      </c>
      <c r="H178" s="172" t="s">
        <v>462</v>
      </c>
      <c r="I178" s="172" t="s">
        <v>283</v>
      </c>
      <c r="J178" s="172" t="s">
        <v>284</v>
      </c>
      <c r="K178" s="172" t="s">
        <v>470</v>
      </c>
      <c r="L178" s="172">
        <v>7090</v>
      </c>
      <c r="M178" s="173">
        <v>1</v>
      </c>
      <c r="N178" s="173" t="s">
        <v>286</v>
      </c>
    </row>
    <row r="179" spans="1:14" s="174" customFormat="1" ht="55.5" customHeight="1">
      <c r="A179" s="171">
        <v>110</v>
      </c>
      <c r="B179" s="171" t="s">
        <v>278</v>
      </c>
      <c r="C179" s="171">
        <v>4500110453</v>
      </c>
      <c r="D179" s="171">
        <v>7700671601</v>
      </c>
      <c r="E179" s="172" t="s">
        <v>461</v>
      </c>
      <c r="F179" s="172" t="s">
        <v>295</v>
      </c>
      <c r="G179" s="172" t="s">
        <v>281</v>
      </c>
      <c r="H179" s="172" t="s">
        <v>462</v>
      </c>
      <c r="I179" s="172" t="s">
        <v>283</v>
      </c>
      <c r="J179" s="172" t="s">
        <v>284</v>
      </c>
      <c r="K179" s="172" t="s">
        <v>471</v>
      </c>
      <c r="L179" s="172">
        <v>7090</v>
      </c>
      <c r="M179" s="173">
        <v>1</v>
      </c>
      <c r="N179" s="173" t="s">
        <v>286</v>
      </c>
    </row>
    <row r="180" spans="1:14" s="174" customFormat="1" ht="55.5" customHeight="1">
      <c r="A180" s="171">
        <v>110</v>
      </c>
      <c r="B180" s="171" t="s">
        <v>278</v>
      </c>
      <c r="C180" s="171">
        <v>4500110453</v>
      </c>
      <c r="D180" s="171">
        <v>7700671601</v>
      </c>
      <c r="E180" s="172" t="s">
        <v>461</v>
      </c>
      <c r="F180" s="172" t="s">
        <v>295</v>
      </c>
      <c r="G180" s="172" t="s">
        <v>281</v>
      </c>
      <c r="H180" s="172" t="s">
        <v>462</v>
      </c>
      <c r="I180" s="172" t="s">
        <v>283</v>
      </c>
      <c r="J180" s="172" t="s">
        <v>284</v>
      </c>
      <c r="K180" s="172" t="s">
        <v>472</v>
      </c>
      <c r="L180" s="172">
        <v>7090</v>
      </c>
      <c r="M180" s="173">
        <v>1</v>
      </c>
      <c r="N180" s="173" t="str">
        <f>_xlfn.XLOOKUP(K180,'[1]From CDC site verification P1 '!D:D,'[1]From CDC site verification P1 '!E:E,0,0)</f>
        <v>13-4034-BV-0140</v>
      </c>
    </row>
    <row r="181" spans="1:14" s="174" customFormat="1" ht="55.5" customHeight="1">
      <c r="A181" s="171">
        <v>110</v>
      </c>
      <c r="B181" s="171" t="s">
        <v>278</v>
      </c>
      <c r="C181" s="171">
        <v>4500110453</v>
      </c>
      <c r="D181" s="171">
        <v>7700671601</v>
      </c>
      <c r="E181" s="172" t="s">
        <v>461</v>
      </c>
      <c r="F181" s="172" t="s">
        <v>295</v>
      </c>
      <c r="G181" s="172" t="s">
        <v>281</v>
      </c>
      <c r="H181" s="172" t="s">
        <v>462</v>
      </c>
      <c r="I181" s="172" t="s">
        <v>283</v>
      </c>
      <c r="J181" s="172" t="s">
        <v>284</v>
      </c>
      <c r="K181" s="172" t="s">
        <v>473</v>
      </c>
      <c r="L181" s="172">
        <v>7090</v>
      </c>
      <c r="M181" s="173">
        <v>1</v>
      </c>
      <c r="N181" s="173" t="s">
        <v>286</v>
      </c>
    </row>
    <row r="182" spans="1:14" s="174" customFormat="1" ht="55.5" customHeight="1">
      <c r="A182" s="171">
        <v>110</v>
      </c>
      <c r="B182" s="171" t="s">
        <v>278</v>
      </c>
      <c r="C182" s="171">
        <v>4500110453</v>
      </c>
      <c r="D182" s="171">
        <v>7700671601</v>
      </c>
      <c r="E182" s="172" t="s">
        <v>461</v>
      </c>
      <c r="F182" s="172" t="s">
        <v>295</v>
      </c>
      <c r="G182" s="172" t="s">
        <v>281</v>
      </c>
      <c r="H182" s="172" t="s">
        <v>462</v>
      </c>
      <c r="I182" s="172" t="s">
        <v>283</v>
      </c>
      <c r="J182" s="172" t="s">
        <v>284</v>
      </c>
      <c r="K182" s="172" t="s">
        <v>474</v>
      </c>
      <c r="L182" s="172">
        <v>7090</v>
      </c>
      <c r="M182" s="173">
        <v>1</v>
      </c>
      <c r="N182" s="173" t="s">
        <v>286</v>
      </c>
    </row>
    <row r="183" spans="1:14" s="174" customFormat="1" ht="55.5" customHeight="1">
      <c r="A183" s="171">
        <v>110</v>
      </c>
      <c r="B183" s="171" t="s">
        <v>278</v>
      </c>
      <c r="C183" s="171">
        <v>4500110453</v>
      </c>
      <c r="D183" s="171">
        <v>7700671601</v>
      </c>
      <c r="E183" s="172" t="s">
        <v>461</v>
      </c>
      <c r="F183" s="172" t="s">
        <v>295</v>
      </c>
      <c r="G183" s="172" t="s">
        <v>281</v>
      </c>
      <c r="H183" s="172" t="s">
        <v>462</v>
      </c>
      <c r="I183" s="172" t="s">
        <v>283</v>
      </c>
      <c r="J183" s="172" t="s">
        <v>284</v>
      </c>
      <c r="K183" s="172" t="s">
        <v>475</v>
      </c>
      <c r="L183" s="172">
        <v>7090</v>
      </c>
      <c r="M183" s="173">
        <v>1</v>
      </c>
      <c r="N183" s="173" t="str">
        <f>_xlfn.XLOOKUP(K183,'[1]From CDC site verification P1 '!D:D,'[1]From CDC site verification P1 '!E:E,0,0)</f>
        <v>13-4034-BV-0002</v>
      </c>
    </row>
    <row r="184" spans="1:14" s="174" customFormat="1" ht="55.5" customHeight="1">
      <c r="A184" s="171">
        <v>110</v>
      </c>
      <c r="B184" s="171" t="s">
        <v>278</v>
      </c>
      <c r="C184" s="171">
        <v>4500110453</v>
      </c>
      <c r="D184" s="171">
        <v>7700671601</v>
      </c>
      <c r="E184" s="172" t="s">
        <v>461</v>
      </c>
      <c r="F184" s="172" t="s">
        <v>295</v>
      </c>
      <c r="G184" s="172" t="s">
        <v>281</v>
      </c>
      <c r="H184" s="172" t="s">
        <v>462</v>
      </c>
      <c r="I184" s="172" t="s">
        <v>283</v>
      </c>
      <c r="J184" s="172" t="s">
        <v>284</v>
      </c>
      <c r="K184" s="172" t="s">
        <v>476</v>
      </c>
      <c r="L184" s="172">
        <v>7090</v>
      </c>
      <c r="M184" s="173">
        <v>1</v>
      </c>
      <c r="N184" s="173" t="str">
        <f>_xlfn.XLOOKUP(K184,'[1]From CDC site verification P1 '!D:D,'[1]From CDC site verification P1 '!E:E,0,0)</f>
        <v>13-4034-BV-0153</v>
      </c>
    </row>
    <row r="185" spans="1:14" s="174" customFormat="1" ht="55.5" customHeight="1">
      <c r="A185" s="171">
        <v>110</v>
      </c>
      <c r="B185" s="171" t="s">
        <v>278</v>
      </c>
      <c r="C185" s="171">
        <v>4500110453</v>
      </c>
      <c r="D185" s="171">
        <v>7700671601</v>
      </c>
      <c r="E185" s="172" t="s">
        <v>461</v>
      </c>
      <c r="F185" s="172" t="s">
        <v>295</v>
      </c>
      <c r="G185" s="172" t="s">
        <v>281</v>
      </c>
      <c r="H185" s="172" t="s">
        <v>462</v>
      </c>
      <c r="I185" s="172" t="s">
        <v>283</v>
      </c>
      <c r="J185" s="172" t="s">
        <v>284</v>
      </c>
      <c r="K185" s="172" t="s">
        <v>477</v>
      </c>
      <c r="L185" s="172">
        <v>7090</v>
      </c>
      <c r="M185" s="173">
        <v>1</v>
      </c>
      <c r="N185" s="173" t="s">
        <v>286</v>
      </c>
    </row>
    <row r="186" spans="1:14" s="174" customFormat="1" ht="55.5" customHeight="1">
      <c r="A186" s="171">
        <v>110</v>
      </c>
      <c r="B186" s="171" t="s">
        <v>278</v>
      </c>
      <c r="C186" s="171">
        <v>4500110453</v>
      </c>
      <c r="D186" s="171">
        <v>7700671601</v>
      </c>
      <c r="E186" s="172" t="s">
        <v>461</v>
      </c>
      <c r="F186" s="172" t="s">
        <v>295</v>
      </c>
      <c r="G186" s="172" t="s">
        <v>281</v>
      </c>
      <c r="H186" s="172" t="s">
        <v>462</v>
      </c>
      <c r="I186" s="172" t="s">
        <v>283</v>
      </c>
      <c r="J186" s="172" t="s">
        <v>284</v>
      </c>
      <c r="K186" s="172" t="s">
        <v>478</v>
      </c>
      <c r="L186" s="172">
        <v>7090</v>
      </c>
      <c r="M186" s="173">
        <v>1</v>
      </c>
      <c r="N186" s="173" t="s">
        <v>286</v>
      </c>
    </row>
    <row r="187" spans="1:14" s="174" customFormat="1" ht="55.5" customHeight="1">
      <c r="A187" s="171">
        <v>110</v>
      </c>
      <c r="B187" s="171" t="s">
        <v>278</v>
      </c>
      <c r="C187" s="171">
        <v>4500110453</v>
      </c>
      <c r="D187" s="171">
        <v>7700671601</v>
      </c>
      <c r="E187" s="172" t="s">
        <v>461</v>
      </c>
      <c r="F187" s="172" t="s">
        <v>295</v>
      </c>
      <c r="G187" s="172" t="s">
        <v>281</v>
      </c>
      <c r="H187" s="172" t="s">
        <v>462</v>
      </c>
      <c r="I187" s="172" t="s">
        <v>283</v>
      </c>
      <c r="J187" s="172" t="s">
        <v>284</v>
      </c>
      <c r="K187" s="172" t="s">
        <v>479</v>
      </c>
      <c r="L187" s="172">
        <v>7090</v>
      </c>
      <c r="M187" s="173">
        <v>1</v>
      </c>
      <c r="N187" s="173" t="s">
        <v>286</v>
      </c>
    </row>
    <row r="188" spans="1:14" s="174" customFormat="1" ht="55.5" customHeight="1">
      <c r="A188" s="171">
        <v>110</v>
      </c>
      <c r="B188" s="171" t="s">
        <v>278</v>
      </c>
      <c r="C188" s="171">
        <v>4500110453</v>
      </c>
      <c r="D188" s="171">
        <v>7700671601</v>
      </c>
      <c r="E188" s="172" t="s">
        <v>461</v>
      </c>
      <c r="F188" s="172" t="s">
        <v>295</v>
      </c>
      <c r="G188" s="172" t="s">
        <v>281</v>
      </c>
      <c r="H188" s="172" t="s">
        <v>462</v>
      </c>
      <c r="I188" s="172" t="s">
        <v>283</v>
      </c>
      <c r="J188" s="172" t="s">
        <v>284</v>
      </c>
      <c r="K188" s="172" t="s">
        <v>480</v>
      </c>
      <c r="L188" s="172">
        <v>7090</v>
      </c>
      <c r="M188" s="173">
        <v>1</v>
      </c>
      <c r="N188" s="173" t="s">
        <v>286</v>
      </c>
    </row>
    <row r="189" spans="1:14" s="174" customFormat="1" ht="55.5" customHeight="1">
      <c r="A189" s="171">
        <v>110</v>
      </c>
      <c r="B189" s="171" t="s">
        <v>278</v>
      </c>
      <c r="C189" s="171">
        <v>4500110453</v>
      </c>
      <c r="D189" s="171">
        <v>7700671601</v>
      </c>
      <c r="E189" s="172" t="s">
        <v>461</v>
      </c>
      <c r="F189" s="172" t="s">
        <v>295</v>
      </c>
      <c r="G189" s="172" t="s">
        <v>281</v>
      </c>
      <c r="H189" s="172" t="s">
        <v>462</v>
      </c>
      <c r="I189" s="172" t="s">
        <v>283</v>
      </c>
      <c r="J189" s="172" t="s">
        <v>284</v>
      </c>
      <c r="K189" s="172" t="s">
        <v>481</v>
      </c>
      <c r="L189" s="172">
        <v>7090</v>
      </c>
      <c r="M189" s="173">
        <v>1</v>
      </c>
      <c r="N189" s="173" t="s">
        <v>286</v>
      </c>
    </row>
    <row r="190" spans="1:14" s="174" customFormat="1" ht="55.5" customHeight="1">
      <c r="A190" s="171">
        <v>110</v>
      </c>
      <c r="B190" s="171" t="s">
        <v>278</v>
      </c>
      <c r="C190" s="171">
        <v>4500110453</v>
      </c>
      <c r="D190" s="171">
        <v>7700671601</v>
      </c>
      <c r="E190" s="172" t="s">
        <v>461</v>
      </c>
      <c r="F190" s="172" t="s">
        <v>295</v>
      </c>
      <c r="G190" s="172" t="s">
        <v>281</v>
      </c>
      <c r="H190" s="172" t="s">
        <v>462</v>
      </c>
      <c r="I190" s="172" t="s">
        <v>283</v>
      </c>
      <c r="J190" s="172" t="s">
        <v>284</v>
      </c>
      <c r="K190" s="172" t="s">
        <v>482</v>
      </c>
      <c r="L190" s="172">
        <v>7090</v>
      </c>
      <c r="M190" s="173">
        <v>1</v>
      </c>
      <c r="N190" s="173" t="str">
        <f>_xlfn.XLOOKUP(K190,'[1]From CDC site verification P1 '!D:D,'[1]From CDC site verification P1 '!E:E,0,0)</f>
        <v>13-4034-BV-0097</v>
      </c>
    </row>
    <row r="191" spans="1:14" s="174" customFormat="1" ht="55.5" customHeight="1">
      <c r="A191" s="171">
        <v>110</v>
      </c>
      <c r="B191" s="171" t="s">
        <v>278</v>
      </c>
      <c r="C191" s="171">
        <v>4500110453</v>
      </c>
      <c r="D191" s="171">
        <v>7700671601</v>
      </c>
      <c r="E191" s="172" t="s">
        <v>461</v>
      </c>
      <c r="F191" s="172" t="s">
        <v>295</v>
      </c>
      <c r="G191" s="172" t="s">
        <v>281</v>
      </c>
      <c r="H191" s="172" t="s">
        <v>462</v>
      </c>
      <c r="I191" s="172" t="s">
        <v>283</v>
      </c>
      <c r="J191" s="172" t="s">
        <v>284</v>
      </c>
      <c r="K191" s="172" t="s">
        <v>483</v>
      </c>
      <c r="L191" s="172">
        <v>7090</v>
      </c>
      <c r="M191" s="173">
        <v>1</v>
      </c>
      <c r="N191" s="173" t="s">
        <v>286</v>
      </c>
    </row>
    <row r="192" spans="1:14" s="174" customFormat="1" ht="55.5" customHeight="1">
      <c r="A192" s="171">
        <v>110</v>
      </c>
      <c r="B192" s="171" t="s">
        <v>278</v>
      </c>
      <c r="C192" s="171">
        <v>4500110453</v>
      </c>
      <c r="D192" s="171">
        <v>7700671601</v>
      </c>
      <c r="E192" s="172" t="s">
        <v>461</v>
      </c>
      <c r="F192" s="172" t="s">
        <v>295</v>
      </c>
      <c r="G192" s="172" t="s">
        <v>281</v>
      </c>
      <c r="H192" s="172" t="s">
        <v>462</v>
      </c>
      <c r="I192" s="172" t="s">
        <v>283</v>
      </c>
      <c r="J192" s="172" t="s">
        <v>284</v>
      </c>
      <c r="K192" s="172" t="s">
        <v>484</v>
      </c>
      <c r="L192" s="172">
        <v>7090</v>
      </c>
      <c r="M192" s="173">
        <v>1</v>
      </c>
      <c r="N192" s="173" t="s">
        <v>286</v>
      </c>
    </row>
    <row r="193" spans="1:14" s="174" customFormat="1" ht="55.5" customHeight="1">
      <c r="A193" s="171">
        <v>110</v>
      </c>
      <c r="B193" s="171" t="s">
        <v>278</v>
      </c>
      <c r="C193" s="171">
        <v>4500110453</v>
      </c>
      <c r="D193" s="171">
        <v>7700671601</v>
      </c>
      <c r="E193" s="172" t="s">
        <v>461</v>
      </c>
      <c r="F193" s="172" t="s">
        <v>295</v>
      </c>
      <c r="G193" s="172" t="s">
        <v>281</v>
      </c>
      <c r="H193" s="172" t="s">
        <v>462</v>
      </c>
      <c r="I193" s="172" t="s">
        <v>283</v>
      </c>
      <c r="J193" s="172" t="s">
        <v>284</v>
      </c>
      <c r="K193" s="172" t="s">
        <v>485</v>
      </c>
      <c r="L193" s="172">
        <v>7090</v>
      </c>
      <c r="M193" s="173">
        <v>1</v>
      </c>
      <c r="N193" s="173" t="s">
        <v>286</v>
      </c>
    </row>
    <row r="194" spans="1:14" s="174" customFormat="1" ht="55.5" customHeight="1">
      <c r="A194" s="171">
        <v>110</v>
      </c>
      <c r="B194" s="171" t="s">
        <v>278</v>
      </c>
      <c r="C194" s="171">
        <v>4500110453</v>
      </c>
      <c r="D194" s="171">
        <v>7700671601</v>
      </c>
      <c r="E194" s="172" t="s">
        <v>461</v>
      </c>
      <c r="F194" s="172" t="s">
        <v>295</v>
      </c>
      <c r="G194" s="172" t="s">
        <v>281</v>
      </c>
      <c r="H194" s="172" t="s">
        <v>462</v>
      </c>
      <c r="I194" s="172" t="s">
        <v>283</v>
      </c>
      <c r="J194" s="172" t="s">
        <v>284</v>
      </c>
      <c r="K194" s="172" t="s">
        <v>486</v>
      </c>
      <c r="L194" s="172">
        <v>7090</v>
      </c>
      <c r="M194" s="173">
        <v>1</v>
      </c>
      <c r="N194" s="173" t="s">
        <v>286</v>
      </c>
    </row>
    <row r="195" spans="1:14" s="174" customFormat="1" ht="55.5" customHeight="1">
      <c r="A195" s="171">
        <v>110</v>
      </c>
      <c r="B195" s="171" t="s">
        <v>278</v>
      </c>
      <c r="C195" s="171">
        <v>4500110453</v>
      </c>
      <c r="D195" s="171">
        <v>7700671601</v>
      </c>
      <c r="E195" s="172" t="s">
        <v>461</v>
      </c>
      <c r="F195" s="172" t="s">
        <v>295</v>
      </c>
      <c r="G195" s="172" t="s">
        <v>281</v>
      </c>
      <c r="H195" s="172" t="s">
        <v>462</v>
      </c>
      <c r="I195" s="172" t="s">
        <v>283</v>
      </c>
      <c r="J195" s="172" t="s">
        <v>284</v>
      </c>
      <c r="K195" s="172" t="s">
        <v>487</v>
      </c>
      <c r="L195" s="172">
        <v>7090</v>
      </c>
      <c r="M195" s="173">
        <v>1</v>
      </c>
      <c r="N195" s="173" t="s">
        <v>286</v>
      </c>
    </row>
    <row r="196" spans="1:14" s="174" customFormat="1" ht="55.5" customHeight="1">
      <c r="A196" s="171">
        <v>110</v>
      </c>
      <c r="B196" s="171" t="s">
        <v>278</v>
      </c>
      <c r="C196" s="171">
        <v>4500110453</v>
      </c>
      <c r="D196" s="171">
        <v>7700671601</v>
      </c>
      <c r="E196" s="172" t="s">
        <v>461</v>
      </c>
      <c r="F196" s="172" t="s">
        <v>295</v>
      </c>
      <c r="G196" s="172" t="s">
        <v>281</v>
      </c>
      <c r="H196" s="172" t="s">
        <v>462</v>
      </c>
      <c r="I196" s="172" t="s">
        <v>283</v>
      </c>
      <c r="J196" s="172" t="s">
        <v>284</v>
      </c>
      <c r="K196" s="172" t="s">
        <v>488</v>
      </c>
      <c r="L196" s="172">
        <v>7090</v>
      </c>
      <c r="M196" s="173">
        <v>1</v>
      </c>
      <c r="N196" s="173" t="s">
        <v>286</v>
      </c>
    </row>
    <row r="197" spans="1:14" s="174" customFormat="1" ht="55.5" customHeight="1">
      <c r="A197" s="171">
        <v>110</v>
      </c>
      <c r="B197" s="171" t="s">
        <v>278</v>
      </c>
      <c r="C197" s="171">
        <v>4500110453</v>
      </c>
      <c r="D197" s="171">
        <v>7700671601</v>
      </c>
      <c r="E197" s="172" t="s">
        <v>461</v>
      </c>
      <c r="F197" s="172" t="s">
        <v>295</v>
      </c>
      <c r="G197" s="172" t="s">
        <v>281</v>
      </c>
      <c r="H197" s="172" t="s">
        <v>462</v>
      </c>
      <c r="I197" s="172" t="s">
        <v>283</v>
      </c>
      <c r="J197" s="172" t="s">
        <v>284</v>
      </c>
      <c r="K197" s="172" t="s">
        <v>489</v>
      </c>
      <c r="L197" s="172">
        <v>7090</v>
      </c>
      <c r="M197" s="173">
        <v>1</v>
      </c>
      <c r="N197" s="173" t="s">
        <v>286</v>
      </c>
    </row>
    <row r="198" spans="1:14" s="174" customFormat="1" ht="55.5" customHeight="1">
      <c r="A198" s="171">
        <v>110</v>
      </c>
      <c r="B198" s="171" t="s">
        <v>278</v>
      </c>
      <c r="C198" s="171">
        <v>4500110453</v>
      </c>
      <c r="D198" s="171">
        <v>7700671601</v>
      </c>
      <c r="E198" s="172" t="s">
        <v>461</v>
      </c>
      <c r="F198" s="172" t="s">
        <v>295</v>
      </c>
      <c r="G198" s="172" t="s">
        <v>281</v>
      </c>
      <c r="H198" s="172" t="s">
        <v>462</v>
      </c>
      <c r="I198" s="172" t="s">
        <v>283</v>
      </c>
      <c r="J198" s="172" t="s">
        <v>284</v>
      </c>
      <c r="K198" s="172" t="s">
        <v>490</v>
      </c>
      <c r="L198" s="172">
        <v>7090</v>
      </c>
      <c r="M198" s="173">
        <v>1</v>
      </c>
      <c r="N198" s="173" t="s">
        <v>286</v>
      </c>
    </row>
    <row r="199" spans="1:14" s="174" customFormat="1" ht="55.5" customHeight="1">
      <c r="A199" s="171">
        <v>110</v>
      </c>
      <c r="B199" s="171" t="s">
        <v>278</v>
      </c>
      <c r="C199" s="171">
        <v>4500110453</v>
      </c>
      <c r="D199" s="171">
        <v>7700671601</v>
      </c>
      <c r="E199" s="172" t="s">
        <v>461</v>
      </c>
      <c r="F199" s="172" t="s">
        <v>295</v>
      </c>
      <c r="G199" s="172" t="s">
        <v>281</v>
      </c>
      <c r="H199" s="172" t="s">
        <v>462</v>
      </c>
      <c r="I199" s="172" t="s">
        <v>283</v>
      </c>
      <c r="J199" s="172" t="s">
        <v>284</v>
      </c>
      <c r="K199" s="172" t="s">
        <v>491</v>
      </c>
      <c r="L199" s="172">
        <v>7090</v>
      </c>
      <c r="M199" s="173">
        <v>1</v>
      </c>
      <c r="N199" s="173" t="s">
        <v>286</v>
      </c>
    </row>
    <row r="200" spans="1:14" s="174" customFormat="1" ht="55.5" customHeight="1">
      <c r="A200" s="171">
        <v>110</v>
      </c>
      <c r="B200" s="171" t="s">
        <v>278</v>
      </c>
      <c r="C200" s="171">
        <v>4500110453</v>
      </c>
      <c r="D200" s="171">
        <v>7700671601</v>
      </c>
      <c r="E200" s="172" t="s">
        <v>461</v>
      </c>
      <c r="F200" s="172" t="s">
        <v>295</v>
      </c>
      <c r="G200" s="172" t="s">
        <v>281</v>
      </c>
      <c r="H200" s="172" t="s">
        <v>462</v>
      </c>
      <c r="I200" s="172" t="s">
        <v>283</v>
      </c>
      <c r="J200" s="172" t="s">
        <v>284</v>
      </c>
      <c r="K200" s="172" t="s">
        <v>492</v>
      </c>
      <c r="L200" s="172">
        <v>7090</v>
      </c>
      <c r="M200" s="173">
        <v>1</v>
      </c>
      <c r="N200" s="173" t="s">
        <v>286</v>
      </c>
    </row>
    <row r="201" spans="1:14" s="174" customFormat="1" ht="55.5" customHeight="1">
      <c r="A201" s="171">
        <v>110</v>
      </c>
      <c r="B201" s="171" t="s">
        <v>278</v>
      </c>
      <c r="C201" s="171">
        <v>4500110453</v>
      </c>
      <c r="D201" s="171">
        <v>7700671601</v>
      </c>
      <c r="E201" s="172" t="s">
        <v>461</v>
      </c>
      <c r="F201" s="172" t="s">
        <v>295</v>
      </c>
      <c r="G201" s="172" t="s">
        <v>281</v>
      </c>
      <c r="H201" s="172" t="s">
        <v>462</v>
      </c>
      <c r="I201" s="172" t="s">
        <v>283</v>
      </c>
      <c r="J201" s="172" t="s">
        <v>284</v>
      </c>
      <c r="K201" s="172" t="s">
        <v>493</v>
      </c>
      <c r="L201" s="172">
        <v>7090</v>
      </c>
      <c r="M201" s="173">
        <v>1</v>
      </c>
      <c r="N201" s="173" t="s">
        <v>286</v>
      </c>
    </row>
    <row r="202" spans="1:14" s="174" customFormat="1" ht="55.5" customHeight="1">
      <c r="A202" s="171">
        <v>110</v>
      </c>
      <c r="B202" s="171" t="s">
        <v>278</v>
      </c>
      <c r="C202" s="171">
        <v>4500110453</v>
      </c>
      <c r="D202" s="171">
        <v>7700671601</v>
      </c>
      <c r="E202" s="172" t="s">
        <v>461</v>
      </c>
      <c r="F202" s="172" t="s">
        <v>295</v>
      </c>
      <c r="G202" s="172" t="s">
        <v>281</v>
      </c>
      <c r="H202" s="172" t="s">
        <v>462</v>
      </c>
      <c r="I202" s="172" t="s">
        <v>283</v>
      </c>
      <c r="J202" s="172" t="s">
        <v>284</v>
      </c>
      <c r="K202" s="172" t="s">
        <v>494</v>
      </c>
      <c r="L202" s="172">
        <v>7090</v>
      </c>
      <c r="M202" s="173">
        <v>1</v>
      </c>
      <c r="N202" s="173" t="s">
        <v>286</v>
      </c>
    </row>
    <row r="203" spans="1:14" s="174" customFormat="1" ht="55.5" customHeight="1">
      <c r="A203" s="171">
        <v>110</v>
      </c>
      <c r="B203" s="171" t="s">
        <v>278</v>
      </c>
      <c r="C203" s="171">
        <v>4500110453</v>
      </c>
      <c r="D203" s="171">
        <v>7700671601</v>
      </c>
      <c r="E203" s="172" t="s">
        <v>461</v>
      </c>
      <c r="F203" s="172" t="s">
        <v>295</v>
      </c>
      <c r="G203" s="172" t="s">
        <v>281</v>
      </c>
      <c r="H203" s="172" t="s">
        <v>462</v>
      </c>
      <c r="I203" s="172" t="s">
        <v>283</v>
      </c>
      <c r="J203" s="172" t="s">
        <v>284</v>
      </c>
      <c r="K203" s="172" t="s">
        <v>495</v>
      </c>
      <c r="L203" s="172">
        <v>7090</v>
      </c>
      <c r="M203" s="173">
        <v>1</v>
      </c>
      <c r="N203" s="173" t="s">
        <v>286</v>
      </c>
    </row>
    <row r="204" spans="1:14" s="174" customFormat="1" ht="55.5" customHeight="1">
      <c r="A204" s="171">
        <v>110</v>
      </c>
      <c r="B204" s="171" t="s">
        <v>278</v>
      </c>
      <c r="C204" s="171">
        <v>4500110453</v>
      </c>
      <c r="D204" s="171">
        <v>7700671601</v>
      </c>
      <c r="E204" s="172" t="s">
        <v>461</v>
      </c>
      <c r="F204" s="172" t="s">
        <v>295</v>
      </c>
      <c r="G204" s="172" t="s">
        <v>281</v>
      </c>
      <c r="H204" s="172" t="s">
        <v>462</v>
      </c>
      <c r="I204" s="172" t="s">
        <v>283</v>
      </c>
      <c r="J204" s="172" t="s">
        <v>284</v>
      </c>
      <c r="K204" s="172" t="s">
        <v>496</v>
      </c>
      <c r="L204" s="172">
        <v>7090</v>
      </c>
      <c r="M204" s="173">
        <v>1</v>
      </c>
      <c r="N204" s="173" t="s">
        <v>286</v>
      </c>
    </row>
    <row r="205" spans="1:14" s="174" customFormat="1" ht="55.5" customHeight="1">
      <c r="A205" s="171">
        <v>110</v>
      </c>
      <c r="B205" s="171" t="s">
        <v>278</v>
      </c>
      <c r="C205" s="171">
        <v>4500110453</v>
      </c>
      <c r="D205" s="171">
        <v>7700671601</v>
      </c>
      <c r="E205" s="172" t="s">
        <v>461</v>
      </c>
      <c r="F205" s="172" t="s">
        <v>295</v>
      </c>
      <c r="G205" s="172" t="s">
        <v>281</v>
      </c>
      <c r="H205" s="172" t="s">
        <v>462</v>
      </c>
      <c r="I205" s="172" t="s">
        <v>283</v>
      </c>
      <c r="J205" s="172" t="s">
        <v>284</v>
      </c>
      <c r="K205" s="172" t="s">
        <v>497</v>
      </c>
      <c r="L205" s="172">
        <v>7090</v>
      </c>
      <c r="M205" s="173">
        <v>1</v>
      </c>
      <c r="N205" s="173" t="str">
        <f>_xlfn.XLOOKUP(K205,'[1]From CDC site verification P1 '!D:D,'[1]From CDC site verification P1 '!E:E,0,0)</f>
        <v>13-4034-BV-0139</v>
      </c>
    </row>
    <row r="206" spans="1:14" s="174" customFormat="1" ht="55.5" customHeight="1">
      <c r="A206" s="171">
        <v>110</v>
      </c>
      <c r="B206" s="171" t="s">
        <v>278</v>
      </c>
      <c r="C206" s="171">
        <v>4500110453</v>
      </c>
      <c r="D206" s="171">
        <v>7700671601</v>
      </c>
      <c r="E206" s="172" t="s">
        <v>461</v>
      </c>
      <c r="F206" s="172" t="s">
        <v>295</v>
      </c>
      <c r="G206" s="172" t="s">
        <v>281</v>
      </c>
      <c r="H206" s="172" t="s">
        <v>462</v>
      </c>
      <c r="I206" s="172" t="s">
        <v>283</v>
      </c>
      <c r="J206" s="172" t="s">
        <v>284</v>
      </c>
      <c r="K206" s="172" t="s">
        <v>498</v>
      </c>
      <c r="L206" s="172">
        <v>7090</v>
      </c>
      <c r="M206" s="173">
        <v>1</v>
      </c>
      <c r="N206" s="173" t="s">
        <v>286</v>
      </c>
    </row>
    <row r="207" spans="1:14" s="174" customFormat="1" ht="55.5" customHeight="1">
      <c r="A207" s="171">
        <v>110</v>
      </c>
      <c r="B207" s="171" t="s">
        <v>278</v>
      </c>
      <c r="C207" s="171">
        <v>4500110453</v>
      </c>
      <c r="D207" s="171">
        <v>7700671601</v>
      </c>
      <c r="E207" s="172" t="s">
        <v>461</v>
      </c>
      <c r="F207" s="172" t="s">
        <v>295</v>
      </c>
      <c r="G207" s="172" t="s">
        <v>281</v>
      </c>
      <c r="H207" s="172" t="s">
        <v>462</v>
      </c>
      <c r="I207" s="172" t="s">
        <v>283</v>
      </c>
      <c r="J207" s="172" t="s">
        <v>284</v>
      </c>
      <c r="K207" s="172" t="s">
        <v>499</v>
      </c>
      <c r="L207" s="172">
        <v>7090</v>
      </c>
      <c r="M207" s="173">
        <v>1</v>
      </c>
      <c r="N207" s="173" t="s">
        <v>286</v>
      </c>
    </row>
    <row r="208" spans="1:14" s="174" customFormat="1" ht="55.5" customHeight="1">
      <c r="A208" s="171">
        <v>110</v>
      </c>
      <c r="B208" s="171" t="s">
        <v>278</v>
      </c>
      <c r="C208" s="171">
        <v>4500110453</v>
      </c>
      <c r="D208" s="171">
        <v>7700671601</v>
      </c>
      <c r="E208" s="172" t="s">
        <v>461</v>
      </c>
      <c r="F208" s="172" t="s">
        <v>295</v>
      </c>
      <c r="G208" s="172" t="s">
        <v>281</v>
      </c>
      <c r="H208" s="172" t="s">
        <v>462</v>
      </c>
      <c r="I208" s="172" t="s">
        <v>283</v>
      </c>
      <c r="J208" s="172" t="s">
        <v>284</v>
      </c>
      <c r="K208" s="172" t="s">
        <v>500</v>
      </c>
      <c r="L208" s="172">
        <v>7090</v>
      </c>
      <c r="M208" s="173">
        <v>1</v>
      </c>
      <c r="N208" s="173" t="s">
        <v>286</v>
      </c>
    </row>
    <row r="209" spans="1:14" s="174" customFormat="1" ht="55.5" customHeight="1">
      <c r="A209" s="171">
        <v>110</v>
      </c>
      <c r="B209" s="171" t="s">
        <v>278</v>
      </c>
      <c r="C209" s="171">
        <v>4500110453</v>
      </c>
      <c r="D209" s="171">
        <v>7700671601</v>
      </c>
      <c r="E209" s="172" t="s">
        <v>461</v>
      </c>
      <c r="F209" s="172" t="s">
        <v>295</v>
      </c>
      <c r="G209" s="172" t="s">
        <v>281</v>
      </c>
      <c r="H209" s="172" t="s">
        <v>462</v>
      </c>
      <c r="I209" s="172" t="s">
        <v>283</v>
      </c>
      <c r="J209" s="172" t="s">
        <v>284</v>
      </c>
      <c r="K209" s="172" t="s">
        <v>501</v>
      </c>
      <c r="L209" s="172">
        <v>7090</v>
      </c>
      <c r="M209" s="173">
        <v>1</v>
      </c>
      <c r="N209" s="173" t="s">
        <v>286</v>
      </c>
    </row>
    <row r="210" spans="1:14" s="174" customFormat="1" ht="55.5" customHeight="1">
      <c r="A210" s="171">
        <v>110</v>
      </c>
      <c r="B210" s="171" t="s">
        <v>278</v>
      </c>
      <c r="C210" s="171">
        <v>4500110453</v>
      </c>
      <c r="D210" s="171">
        <v>7700671601</v>
      </c>
      <c r="E210" s="172" t="s">
        <v>461</v>
      </c>
      <c r="F210" s="172" t="s">
        <v>295</v>
      </c>
      <c r="G210" s="172" t="s">
        <v>281</v>
      </c>
      <c r="H210" s="172" t="s">
        <v>462</v>
      </c>
      <c r="I210" s="172" t="s">
        <v>283</v>
      </c>
      <c r="J210" s="172" t="s">
        <v>284</v>
      </c>
      <c r="K210" s="172" t="s">
        <v>502</v>
      </c>
      <c r="L210" s="172">
        <v>7090</v>
      </c>
      <c r="M210" s="173">
        <v>1</v>
      </c>
      <c r="N210" s="173" t="str">
        <f>_xlfn.XLOOKUP(K210,'[1]From CDC site verification P1 '!D:D,'[1]From CDC site verification P1 '!E:E,0,0)</f>
        <v>13-4034-BV-0167</v>
      </c>
    </row>
    <row r="211" spans="1:14" s="174" customFormat="1" ht="55.5" customHeight="1">
      <c r="A211" s="171">
        <v>110</v>
      </c>
      <c r="B211" s="171" t="s">
        <v>278</v>
      </c>
      <c r="C211" s="171">
        <v>4500110453</v>
      </c>
      <c r="D211" s="171">
        <v>7700671601</v>
      </c>
      <c r="E211" s="172" t="s">
        <v>461</v>
      </c>
      <c r="F211" s="172" t="s">
        <v>295</v>
      </c>
      <c r="G211" s="172" t="s">
        <v>281</v>
      </c>
      <c r="H211" s="172" t="s">
        <v>462</v>
      </c>
      <c r="I211" s="172" t="s">
        <v>283</v>
      </c>
      <c r="J211" s="172" t="s">
        <v>284</v>
      </c>
      <c r="K211" s="172" t="s">
        <v>503</v>
      </c>
      <c r="L211" s="172">
        <v>7090</v>
      </c>
      <c r="M211" s="173">
        <v>1</v>
      </c>
      <c r="N211" s="173" t="s">
        <v>286</v>
      </c>
    </row>
    <row r="212" spans="1:14" s="174" customFormat="1" ht="55.5" customHeight="1">
      <c r="A212" s="171">
        <v>110</v>
      </c>
      <c r="B212" s="171" t="s">
        <v>278</v>
      </c>
      <c r="C212" s="171">
        <v>4500110453</v>
      </c>
      <c r="D212" s="171">
        <v>7700671601</v>
      </c>
      <c r="E212" s="172" t="s">
        <v>461</v>
      </c>
      <c r="F212" s="172" t="s">
        <v>295</v>
      </c>
      <c r="G212" s="172" t="s">
        <v>281</v>
      </c>
      <c r="H212" s="172" t="s">
        <v>462</v>
      </c>
      <c r="I212" s="172" t="s">
        <v>283</v>
      </c>
      <c r="J212" s="172" t="s">
        <v>284</v>
      </c>
      <c r="K212" s="172" t="s">
        <v>504</v>
      </c>
      <c r="L212" s="172">
        <v>7090</v>
      </c>
      <c r="M212" s="173">
        <v>1</v>
      </c>
      <c r="N212" s="173" t="s">
        <v>286</v>
      </c>
    </row>
    <row r="213" spans="1:14" s="174" customFormat="1" ht="55.5" customHeight="1">
      <c r="A213" s="171">
        <v>110</v>
      </c>
      <c r="B213" s="171" t="s">
        <v>278</v>
      </c>
      <c r="C213" s="171">
        <v>4500110453</v>
      </c>
      <c r="D213" s="171">
        <v>7700671601</v>
      </c>
      <c r="E213" s="172" t="s">
        <v>461</v>
      </c>
      <c r="F213" s="172" t="s">
        <v>295</v>
      </c>
      <c r="G213" s="172" t="s">
        <v>281</v>
      </c>
      <c r="H213" s="172" t="s">
        <v>462</v>
      </c>
      <c r="I213" s="172" t="s">
        <v>283</v>
      </c>
      <c r="J213" s="172" t="s">
        <v>284</v>
      </c>
      <c r="K213" s="172" t="s">
        <v>505</v>
      </c>
      <c r="L213" s="172">
        <v>7090</v>
      </c>
      <c r="M213" s="173">
        <v>1</v>
      </c>
      <c r="N213" s="173" t="s">
        <v>286</v>
      </c>
    </row>
    <row r="214" spans="1:14" s="174" customFormat="1" ht="55.5" customHeight="1">
      <c r="A214" s="171">
        <v>110</v>
      </c>
      <c r="B214" s="171" t="s">
        <v>278</v>
      </c>
      <c r="C214" s="171">
        <v>4500110453</v>
      </c>
      <c r="D214" s="171">
        <v>7700671601</v>
      </c>
      <c r="E214" s="172" t="s">
        <v>461</v>
      </c>
      <c r="F214" s="172" t="s">
        <v>295</v>
      </c>
      <c r="G214" s="172" t="s">
        <v>281</v>
      </c>
      <c r="H214" s="172" t="s">
        <v>462</v>
      </c>
      <c r="I214" s="172" t="s">
        <v>283</v>
      </c>
      <c r="J214" s="172" t="s">
        <v>284</v>
      </c>
      <c r="K214" s="172" t="s">
        <v>506</v>
      </c>
      <c r="L214" s="172">
        <v>7090</v>
      </c>
      <c r="M214" s="173">
        <v>1</v>
      </c>
      <c r="N214" s="173" t="s">
        <v>286</v>
      </c>
    </row>
    <row r="215" spans="1:14" s="174" customFormat="1" ht="55.5" customHeight="1">
      <c r="A215" s="171">
        <v>110</v>
      </c>
      <c r="B215" s="171" t="s">
        <v>278</v>
      </c>
      <c r="C215" s="171">
        <v>4500110453</v>
      </c>
      <c r="D215" s="171">
        <v>7700671601</v>
      </c>
      <c r="E215" s="172" t="s">
        <v>461</v>
      </c>
      <c r="F215" s="172" t="s">
        <v>295</v>
      </c>
      <c r="G215" s="172" t="s">
        <v>281</v>
      </c>
      <c r="H215" s="172" t="s">
        <v>462</v>
      </c>
      <c r="I215" s="172" t="s">
        <v>283</v>
      </c>
      <c r="J215" s="172" t="s">
        <v>284</v>
      </c>
      <c r="K215" s="172" t="s">
        <v>507</v>
      </c>
      <c r="L215" s="172">
        <v>7090</v>
      </c>
      <c r="M215" s="173">
        <v>1</v>
      </c>
      <c r="N215" s="173" t="s">
        <v>286</v>
      </c>
    </row>
    <row r="216" spans="1:14" s="174" customFormat="1" ht="55.5" customHeight="1">
      <c r="A216" s="171">
        <v>110</v>
      </c>
      <c r="B216" s="171" t="s">
        <v>278</v>
      </c>
      <c r="C216" s="171">
        <v>4500110453</v>
      </c>
      <c r="D216" s="171">
        <v>7700671601</v>
      </c>
      <c r="E216" s="172" t="s">
        <v>461</v>
      </c>
      <c r="F216" s="172" t="s">
        <v>295</v>
      </c>
      <c r="G216" s="172" t="s">
        <v>281</v>
      </c>
      <c r="H216" s="172" t="s">
        <v>462</v>
      </c>
      <c r="I216" s="172" t="s">
        <v>283</v>
      </c>
      <c r="J216" s="172" t="s">
        <v>284</v>
      </c>
      <c r="K216" s="172" t="s">
        <v>508</v>
      </c>
      <c r="L216" s="172">
        <v>7090</v>
      </c>
      <c r="M216" s="173">
        <v>1</v>
      </c>
      <c r="N216" s="173" t="s">
        <v>286</v>
      </c>
    </row>
    <row r="217" spans="1:14" s="174" customFormat="1" ht="55.5" customHeight="1">
      <c r="A217" s="171">
        <v>110</v>
      </c>
      <c r="B217" s="171" t="s">
        <v>278</v>
      </c>
      <c r="C217" s="171">
        <v>4500110453</v>
      </c>
      <c r="D217" s="171">
        <v>7700671601</v>
      </c>
      <c r="E217" s="172" t="s">
        <v>461</v>
      </c>
      <c r="F217" s="172" t="s">
        <v>295</v>
      </c>
      <c r="G217" s="172" t="s">
        <v>281</v>
      </c>
      <c r="H217" s="172" t="s">
        <v>462</v>
      </c>
      <c r="I217" s="172" t="s">
        <v>283</v>
      </c>
      <c r="J217" s="172" t="s">
        <v>284</v>
      </c>
      <c r="K217" s="172" t="s">
        <v>509</v>
      </c>
      <c r="L217" s="172">
        <v>7090</v>
      </c>
      <c r="M217" s="173">
        <v>1</v>
      </c>
      <c r="N217" s="173" t="str">
        <f>_xlfn.XLOOKUP(K217,'[1]From CDC site verification P1 '!D:D,'[1]From CDC site verification P1 '!E:E,0,0)</f>
        <v>13-4034-BV-0125</v>
      </c>
    </row>
    <row r="218" spans="1:14" s="174" customFormat="1" ht="55.5" customHeight="1">
      <c r="A218" s="171">
        <v>110</v>
      </c>
      <c r="B218" s="171" t="s">
        <v>278</v>
      </c>
      <c r="C218" s="171">
        <v>4500110453</v>
      </c>
      <c r="D218" s="171">
        <v>7700671601</v>
      </c>
      <c r="E218" s="172" t="s">
        <v>461</v>
      </c>
      <c r="F218" s="172" t="s">
        <v>295</v>
      </c>
      <c r="G218" s="172" t="s">
        <v>281</v>
      </c>
      <c r="H218" s="172" t="s">
        <v>462</v>
      </c>
      <c r="I218" s="172" t="s">
        <v>283</v>
      </c>
      <c r="J218" s="172" t="s">
        <v>284</v>
      </c>
      <c r="K218" s="172" t="s">
        <v>510</v>
      </c>
      <c r="L218" s="172">
        <v>7090</v>
      </c>
      <c r="M218" s="173">
        <v>1</v>
      </c>
      <c r="N218" s="173" t="s">
        <v>286</v>
      </c>
    </row>
    <row r="219" spans="1:14" s="174" customFormat="1" ht="55.5" customHeight="1">
      <c r="A219" s="171">
        <v>110</v>
      </c>
      <c r="B219" s="171" t="s">
        <v>278</v>
      </c>
      <c r="C219" s="171">
        <v>4500110453</v>
      </c>
      <c r="D219" s="171">
        <v>7700671601</v>
      </c>
      <c r="E219" s="172" t="s">
        <v>461</v>
      </c>
      <c r="F219" s="172" t="s">
        <v>295</v>
      </c>
      <c r="G219" s="172" t="s">
        <v>281</v>
      </c>
      <c r="H219" s="172" t="s">
        <v>462</v>
      </c>
      <c r="I219" s="172" t="s">
        <v>283</v>
      </c>
      <c r="J219" s="172" t="s">
        <v>284</v>
      </c>
      <c r="K219" s="172" t="s">
        <v>511</v>
      </c>
      <c r="L219" s="172">
        <v>7090</v>
      </c>
      <c r="M219" s="173">
        <v>1</v>
      </c>
      <c r="N219" s="173" t="str">
        <f>_xlfn.XLOOKUP(K219,'[1]From CDC site verification P1 '!D:D,'[1]From CDC site verification P1 '!E:E,0,0)</f>
        <v>13-4034-BV-0015</v>
      </c>
    </row>
    <row r="220" spans="1:14" s="174" customFormat="1" ht="55.5" customHeight="1">
      <c r="A220" s="171">
        <v>110</v>
      </c>
      <c r="B220" s="171" t="s">
        <v>278</v>
      </c>
      <c r="C220" s="171">
        <v>4500110453</v>
      </c>
      <c r="D220" s="171">
        <v>7700671601</v>
      </c>
      <c r="E220" s="172" t="s">
        <v>461</v>
      </c>
      <c r="F220" s="172" t="s">
        <v>295</v>
      </c>
      <c r="G220" s="172" t="s">
        <v>281</v>
      </c>
      <c r="H220" s="172" t="s">
        <v>462</v>
      </c>
      <c r="I220" s="172" t="s">
        <v>283</v>
      </c>
      <c r="J220" s="172" t="s">
        <v>284</v>
      </c>
      <c r="K220" s="172" t="s">
        <v>512</v>
      </c>
      <c r="L220" s="172">
        <v>7090</v>
      </c>
      <c r="M220" s="173">
        <v>1</v>
      </c>
      <c r="N220" s="173" t="str">
        <f>_xlfn.XLOOKUP(K220,'[1]From CDC site verification P1 '!D:D,'[1]From CDC site verification P1 '!E:E,0,0)</f>
        <v>13-4034-BV-0168</v>
      </c>
    </row>
    <row r="221" spans="1:14" s="174" customFormat="1" ht="55.5" customHeight="1">
      <c r="A221" s="171">
        <v>110</v>
      </c>
      <c r="B221" s="171" t="s">
        <v>278</v>
      </c>
      <c r="C221" s="171">
        <v>4500110453</v>
      </c>
      <c r="D221" s="171">
        <v>7700671601</v>
      </c>
      <c r="E221" s="172" t="s">
        <v>461</v>
      </c>
      <c r="F221" s="172" t="s">
        <v>295</v>
      </c>
      <c r="G221" s="172" t="s">
        <v>281</v>
      </c>
      <c r="H221" s="172" t="s">
        <v>462</v>
      </c>
      <c r="I221" s="172" t="s">
        <v>283</v>
      </c>
      <c r="J221" s="172" t="s">
        <v>284</v>
      </c>
      <c r="K221" s="172" t="s">
        <v>513</v>
      </c>
      <c r="L221" s="172">
        <v>7090</v>
      </c>
      <c r="M221" s="173">
        <v>1</v>
      </c>
      <c r="N221" s="173" t="s">
        <v>286</v>
      </c>
    </row>
    <row r="222" spans="1:14" s="174" customFormat="1" ht="55.5" customHeight="1">
      <c r="A222" s="171">
        <v>110</v>
      </c>
      <c r="B222" s="171" t="s">
        <v>278</v>
      </c>
      <c r="C222" s="171">
        <v>4500110453</v>
      </c>
      <c r="D222" s="171">
        <v>7700671601</v>
      </c>
      <c r="E222" s="172" t="s">
        <v>461</v>
      </c>
      <c r="F222" s="172" t="s">
        <v>295</v>
      </c>
      <c r="G222" s="172" t="s">
        <v>281</v>
      </c>
      <c r="H222" s="172" t="s">
        <v>462</v>
      </c>
      <c r="I222" s="172" t="s">
        <v>283</v>
      </c>
      <c r="J222" s="172" t="s">
        <v>284</v>
      </c>
      <c r="K222" s="172" t="s">
        <v>514</v>
      </c>
      <c r="L222" s="172">
        <v>7090</v>
      </c>
      <c r="M222" s="173">
        <v>1</v>
      </c>
      <c r="N222" s="173" t="str">
        <f>_xlfn.XLOOKUP(K222,'[1]From CDC site verification P1 '!D:D,'[1]From CDC site verification P1 '!E:E,0,0)</f>
        <v>13-4034-BV-0126</v>
      </c>
    </row>
    <row r="223" spans="1:14" s="174" customFormat="1" ht="55.5" customHeight="1">
      <c r="A223" s="171">
        <v>110</v>
      </c>
      <c r="B223" s="171" t="s">
        <v>278</v>
      </c>
      <c r="C223" s="171">
        <v>4500110453</v>
      </c>
      <c r="D223" s="171">
        <v>7700671601</v>
      </c>
      <c r="E223" s="172" t="s">
        <v>461</v>
      </c>
      <c r="F223" s="172" t="s">
        <v>295</v>
      </c>
      <c r="G223" s="172" t="s">
        <v>281</v>
      </c>
      <c r="H223" s="172" t="s">
        <v>462</v>
      </c>
      <c r="I223" s="172" t="s">
        <v>283</v>
      </c>
      <c r="J223" s="172" t="s">
        <v>284</v>
      </c>
      <c r="K223" s="172" t="s">
        <v>515</v>
      </c>
      <c r="L223" s="172">
        <v>7090</v>
      </c>
      <c r="M223" s="173">
        <v>1</v>
      </c>
      <c r="N223" s="173" t="str">
        <f>_xlfn.XLOOKUP(K223,'[1]From CDC site verification P1 '!D:D,'[1]From CDC site verification P1 '!E:E,0,0)</f>
        <v>13-4034-BV-0057</v>
      </c>
    </row>
    <row r="224" spans="1:14" s="174" customFormat="1" ht="55.5" customHeight="1">
      <c r="A224" s="171">
        <v>110</v>
      </c>
      <c r="B224" s="171" t="s">
        <v>278</v>
      </c>
      <c r="C224" s="171">
        <v>4500110453</v>
      </c>
      <c r="D224" s="171">
        <v>7700671601</v>
      </c>
      <c r="E224" s="172" t="s">
        <v>461</v>
      </c>
      <c r="F224" s="172" t="s">
        <v>295</v>
      </c>
      <c r="G224" s="172" t="s">
        <v>281</v>
      </c>
      <c r="H224" s="172" t="s">
        <v>462</v>
      </c>
      <c r="I224" s="172" t="s">
        <v>283</v>
      </c>
      <c r="J224" s="172" t="s">
        <v>284</v>
      </c>
      <c r="K224" s="172" t="s">
        <v>516</v>
      </c>
      <c r="L224" s="172">
        <v>7090</v>
      </c>
      <c r="M224" s="173">
        <v>1</v>
      </c>
      <c r="N224" s="173" t="s">
        <v>286</v>
      </c>
    </row>
    <row r="225" spans="1:14" s="174" customFormat="1" ht="55.5" customHeight="1">
      <c r="A225" s="171">
        <v>110</v>
      </c>
      <c r="B225" s="171" t="s">
        <v>278</v>
      </c>
      <c r="C225" s="171">
        <v>4500110453</v>
      </c>
      <c r="D225" s="171">
        <v>7700671601</v>
      </c>
      <c r="E225" s="172" t="s">
        <v>461</v>
      </c>
      <c r="F225" s="172" t="s">
        <v>295</v>
      </c>
      <c r="G225" s="172" t="s">
        <v>281</v>
      </c>
      <c r="H225" s="172" t="s">
        <v>462</v>
      </c>
      <c r="I225" s="172" t="s">
        <v>283</v>
      </c>
      <c r="J225" s="172" t="s">
        <v>284</v>
      </c>
      <c r="K225" s="172" t="s">
        <v>517</v>
      </c>
      <c r="L225" s="172">
        <v>7090</v>
      </c>
      <c r="M225" s="173">
        <v>1</v>
      </c>
      <c r="N225" s="173" t="s">
        <v>286</v>
      </c>
    </row>
    <row r="226" spans="1:14" s="174" customFormat="1" ht="55.5" customHeight="1">
      <c r="A226" s="171">
        <v>110</v>
      </c>
      <c r="B226" s="171" t="s">
        <v>278</v>
      </c>
      <c r="C226" s="171">
        <v>4500110453</v>
      </c>
      <c r="D226" s="171">
        <v>7700671601</v>
      </c>
      <c r="E226" s="172" t="s">
        <v>461</v>
      </c>
      <c r="F226" s="172" t="s">
        <v>295</v>
      </c>
      <c r="G226" s="172" t="s">
        <v>281</v>
      </c>
      <c r="H226" s="172" t="s">
        <v>462</v>
      </c>
      <c r="I226" s="172" t="s">
        <v>283</v>
      </c>
      <c r="J226" s="172" t="s">
        <v>284</v>
      </c>
      <c r="K226" s="172" t="s">
        <v>518</v>
      </c>
      <c r="L226" s="172">
        <v>7090</v>
      </c>
      <c r="M226" s="173">
        <v>1</v>
      </c>
      <c r="N226" s="173" t="str">
        <f>_xlfn.XLOOKUP(K226,'[1]From CDC site verification P1 '!D:D,'[1]From CDC site verification P1 '!E:E,0,0)</f>
        <v>13-4034-BV-0071</v>
      </c>
    </row>
    <row r="227" spans="1:14" s="174" customFormat="1" ht="55.5" customHeight="1">
      <c r="A227" s="171">
        <v>110</v>
      </c>
      <c r="B227" s="171" t="s">
        <v>278</v>
      </c>
      <c r="C227" s="171">
        <v>4500110453</v>
      </c>
      <c r="D227" s="171">
        <v>7700671601</v>
      </c>
      <c r="E227" s="172" t="s">
        <v>461</v>
      </c>
      <c r="F227" s="172" t="s">
        <v>295</v>
      </c>
      <c r="G227" s="172" t="s">
        <v>281</v>
      </c>
      <c r="H227" s="172" t="s">
        <v>462</v>
      </c>
      <c r="I227" s="172" t="s">
        <v>283</v>
      </c>
      <c r="J227" s="172" t="s">
        <v>284</v>
      </c>
      <c r="K227" s="172" t="s">
        <v>519</v>
      </c>
      <c r="L227" s="172">
        <v>7090</v>
      </c>
      <c r="M227" s="173">
        <v>1</v>
      </c>
      <c r="N227" s="173" t="str">
        <f>_xlfn.XLOOKUP(K227,'[1]From CDC site verification P1 '!D:D,'[1]From CDC site verification P1 '!E:E,0,0)</f>
        <v>13-4034-BV-0029</v>
      </c>
    </row>
    <row r="228" spans="1:14" s="174" customFormat="1" ht="55.5" customHeight="1">
      <c r="A228" s="171">
        <v>110</v>
      </c>
      <c r="B228" s="171" t="s">
        <v>278</v>
      </c>
      <c r="C228" s="171">
        <v>4500110453</v>
      </c>
      <c r="D228" s="171">
        <v>7700671601</v>
      </c>
      <c r="E228" s="172" t="s">
        <v>461</v>
      </c>
      <c r="F228" s="172" t="s">
        <v>295</v>
      </c>
      <c r="G228" s="172" t="s">
        <v>281</v>
      </c>
      <c r="H228" s="172" t="s">
        <v>462</v>
      </c>
      <c r="I228" s="172" t="s">
        <v>283</v>
      </c>
      <c r="J228" s="172" t="s">
        <v>284</v>
      </c>
      <c r="K228" s="172" t="s">
        <v>520</v>
      </c>
      <c r="L228" s="172">
        <v>7090</v>
      </c>
      <c r="M228" s="173">
        <v>1</v>
      </c>
      <c r="N228" s="173" t="s">
        <v>286</v>
      </c>
    </row>
    <row r="229" spans="1:14" s="174" customFormat="1" ht="55.5" customHeight="1">
      <c r="A229" s="171">
        <v>110</v>
      </c>
      <c r="B229" s="171" t="s">
        <v>278</v>
      </c>
      <c r="C229" s="171">
        <v>4500110453</v>
      </c>
      <c r="D229" s="171">
        <v>7700671601</v>
      </c>
      <c r="E229" s="172" t="s">
        <v>461</v>
      </c>
      <c r="F229" s="172" t="s">
        <v>295</v>
      </c>
      <c r="G229" s="172" t="s">
        <v>281</v>
      </c>
      <c r="H229" s="172" t="s">
        <v>462</v>
      </c>
      <c r="I229" s="172" t="s">
        <v>283</v>
      </c>
      <c r="J229" s="172" t="s">
        <v>284</v>
      </c>
      <c r="K229" s="172" t="s">
        <v>521</v>
      </c>
      <c r="L229" s="172">
        <v>7090</v>
      </c>
      <c r="M229" s="173">
        <v>1</v>
      </c>
      <c r="N229" s="173" t="str">
        <f>_xlfn.XLOOKUP(K229,'[1]From CDC site verification P1 '!D:D,'[1]From CDC site verification P1 '!E:E,0,0)</f>
        <v>13-4034-BV-0043</v>
      </c>
    </row>
    <row r="230" spans="1:14" s="174" customFormat="1" ht="55.5" customHeight="1">
      <c r="A230" s="171">
        <v>110</v>
      </c>
      <c r="B230" s="171" t="s">
        <v>278</v>
      </c>
      <c r="C230" s="171">
        <v>4500110453</v>
      </c>
      <c r="D230" s="171">
        <v>7700671601</v>
      </c>
      <c r="E230" s="172" t="s">
        <v>461</v>
      </c>
      <c r="F230" s="172" t="s">
        <v>295</v>
      </c>
      <c r="G230" s="172" t="s">
        <v>281</v>
      </c>
      <c r="H230" s="172" t="s">
        <v>462</v>
      </c>
      <c r="I230" s="172" t="s">
        <v>283</v>
      </c>
      <c r="J230" s="172" t="s">
        <v>284</v>
      </c>
      <c r="K230" s="172" t="s">
        <v>522</v>
      </c>
      <c r="L230" s="172">
        <v>7090</v>
      </c>
      <c r="M230" s="173">
        <v>1</v>
      </c>
      <c r="N230" s="173" t="str">
        <f>_xlfn.XLOOKUP(K230,'[1]From CDC site verification P1 '!D:D,'[1]From CDC site verification P1 '!E:E,0,0)</f>
        <v>13-4034-BV-0154</v>
      </c>
    </row>
    <row r="231" spans="1:14" s="174" customFormat="1" ht="55.5" customHeight="1">
      <c r="A231" s="171">
        <v>110</v>
      </c>
      <c r="B231" s="171" t="s">
        <v>278</v>
      </c>
      <c r="C231" s="171">
        <v>4500110453</v>
      </c>
      <c r="D231" s="171">
        <v>7700671601</v>
      </c>
      <c r="E231" s="172" t="s">
        <v>461</v>
      </c>
      <c r="F231" s="172" t="s">
        <v>295</v>
      </c>
      <c r="G231" s="172" t="s">
        <v>281</v>
      </c>
      <c r="H231" s="172" t="s">
        <v>462</v>
      </c>
      <c r="I231" s="172" t="s">
        <v>283</v>
      </c>
      <c r="J231" s="172" t="s">
        <v>284</v>
      </c>
      <c r="K231" s="172" t="s">
        <v>523</v>
      </c>
      <c r="L231" s="172">
        <v>7090</v>
      </c>
      <c r="M231" s="173">
        <v>1</v>
      </c>
      <c r="N231" s="173" t="str">
        <f>_xlfn.XLOOKUP(K231,'[1]From CDC site verification P1 '!D:D,'[1]From CDC site verification P1 '!E:E,0,0)</f>
        <v>13-4034-BV-0098</v>
      </c>
    </row>
    <row r="232" spans="1:14" s="174" customFormat="1" ht="55.5" customHeight="1">
      <c r="A232" s="171">
        <v>110</v>
      </c>
      <c r="B232" s="171" t="s">
        <v>278</v>
      </c>
      <c r="C232" s="171">
        <v>4500110453</v>
      </c>
      <c r="D232" s="171">
        <v>7700671601</v>
      </c>
      <c r="E232" s="172" t="s">
        <v>461</v>
      </c>
      <c r="F232" s="172" t="s">
        <v>295</v>
      </c>
      <c r="G232" s="172" t="s">
        <v>281</v>
      </c>
      <c r="H232" s="172" t="s">
        <v>462</v>
      </c>
      <c r="I232" s="172" t="s">
        <v>283</v>
      </c>
      <c r="J232" s="172" t="s">
        <v>284</v>
      </c>
      <c r="K232" s="172" t="s">
        <v>524</v>
      </c>
      <c r="L232" s="172">
        <v>7090</v>
      </c>
      <c r="M232" s="173">
        <v>1</v>
      </c>
      <c r="N232" s="173" t="s">
        <v>286</v>
      </c>
    </row>
    <row r="233" spans="1:14" s="174" customFormat="1" ht="55.5" customHeight="1">
      <c r="A233" s="171">
        <v>110</v>
      </c>
      <c r="B233" s="171" t="s">
        <v>278</v>
      </c>
      <c r="C233" s="171">
        <v>4500110453</v>
      </c>
      <c r="D233" s="171">
        <v>7700671601</v>
      </c>
      <c r="E233" s="172" t="s">
        <v>461</v>
      </c>
      <c r="F233" s="172" t="s">
        <v>295</v>
      </c>
      <c r="G233" s="172" t="s">
        <v>281</v>
      </c>
      <c r="H233" s="172" t="s">
        <v>462</v>
      </c>
      <c r="I233" s="172" t="s">
        <v>283</v>
      </c>
      <c r="J233" s="172" t="s">
        <v>284</v>
      </c>
      <c r="K233" s="172" t="s">
        <v>525</v>
      </c>
      <c r="L233" s="172">
        <v>7090</v>
      </c>
      <c r="M233" s="173">
        <v>1</v>
      </c>
      <c r="N233" s="173" t="str">
        <f>_xlfn.XLOOKUP(K233,'[1]From CDC site verification P1 '!D:D,'[1]From CDC site verification P1 '!E:E,0,0)</f>
        <v>13-4034-BV-0112</v>
      </c>
    </row>
    <row r="234" spans="1:14" s="174" customFormat="1" ht="55.5" customHeight="1">
      <c r="A234" s="171">
        <v>110</v>
      </c>
      <c r="B234" s="171" t="s">
        <v>278</v>
      </c>
      <c r="C234" s="171">
        <v>4500110453</v>
      </c>
      <c r="D234" s="171">
        <v>7700671601</v>
      </c>
      <c r="E234" s="172" t="s">
        <v>461</v>
      </c>
      <c r="F234" s="172" t="s">
        <v>295</v>
      </c>
      <c r="G234" s="172" t="s">
        <v>281</v>
      </c>
      <c r="H234" s="172" t="s">
        <v>462</v>
      </c>
      <c r="I234" s="172" t="s">
        <v>283</v>
      </c>
      <c r="J234" s="172" t="s">
        <v>284</v>
      </c>
      <c r="K234" s="172" t="s">
        <v>526</v>
      </c>
      <c r="L234" s="172">
        <v>7090</v>
      </c>
      <c r="M234" s="173">
        <v>1</v>
      </c>
      <c r="N234" s="173" t="s">
        <v>286</v>
      </c>
    </row>
    <row r="235" spans="1:14" s="174" customFormat="1" ht="55.5" customHeight="1">
      <c r="A235" s="171">
        <v>110</v>
      </c>
      <c r="B235" s="171" t="s">
        <v>278</v>
      </c>
      <c r="C235" s="171">
        <v>4500110453</v>
      </c>
      <c r="D235" s="171">
        <v>7700671601</v>
      </c>
      <c r="E235" s="172" t="s">
        <v>461</v>
      </c>
      <c r="F235" s="172" t="s">
        <v>295</v>
      </c>
      <c r="G235" s="172" t="s">
        <v>281</v>
      </c>
      <c r="H235" s="172" t="s">
        <v>462</v>
      </c>
      <c r="I235" s="172" t="s">
        <v>283</v>
      </c>
      <c r="J235" s="172" t="s">
        <v>284</v>
      </c>
      <c r="K235" s="172" t="s">
        <v>527</v>
      </c>
      <c r="L235" s="172">
        <v>7090</v>
      </c>
      <c r="M235" s="173">
        <v>1</v>
      </c>
      <c r="N235" s="173" t="s">
        <v>286</v>
      </c>
    </row>
    <row r="236" spans="1:14" s="174" customFormat="1" ht="55.5" customHeight="1">
      <c r="A236" s="171">
        <v>110</v>
      </c>
      <c r="B236" s="171" t="s">
        <v>278</v>
      </c>
      <c r="C236" s="171">
        <v>4500110453</v>
      </c>
      <c r="D236" s="171">
        <v>7700671601</v>
      </c>
      <c r="E236" s="172" t="s">
        <v>461</v>
      </c>
      <c r="F236" s="172" t="s">
        <v>295</v>
      </c>
      <c r="G236" s="172" t="s">
        <v>281</v>
      </c>
      <c r="H236" s="172" t="s">
        <v>462</v>
      </c>
      <c r="I236" s="172" t="s">
        <v>283</v>
      </c>
      <c r="J236" s="172" t="s">
        <v>284</v>
      </c>
      <c r="K236" s="172" t="s">
        <v>528</v>
      </c>
      <c r="L236" s="172">
        <v>7090</v>
      </c>
      <c r="M236" s="173">
        <v>1</v>
      </c>
      <c r="N236" s="173" t="s">
        <v>286</v>
      </c>
    </row>
    <row r="237" spans="1:14" s="174" customFormat="1" ht="55.5" customHeight="1">
      <c r="A237" s="171">
        <v>110</v>
      </c>
      <c r="B237" s="171" t="s">
        <v>278</v>
      </c>
      <c r="C237" s="171">
        <v>4500110453</v>
      </c>
      <c r="D237" s="171">
        <v>7700671601</v>
      </c>
      <c r="E237" s="172" t="s">
        <v>461</v>
      </c>
      <c r="F237" s="172" t="s">
        <v>295</v>
      </c>
      <c r="G237" s="172" t="s">
        <v>281</v>
      </c>
      <c r="H237" s="172" t="s">
        <v>462</v>
      </c>
      <c r="I237" s="172" t="s">
        <v>283</v>
      </c>
      <c r="J237" s="172" t="s">
        <v>284</v>
      </c>
      <c r="K237" s="172" t="s">
        <v>529</v>
      </c>
      <c r="L237" s="172">
        <v>7090</v>
      </c>
      <c r="M237" s="173">
        <v>1</v>
      </c>
      <c r="N237" s="173" t="s">
        <v>286</v>
      </c>
    </row>
    <row r="238" spans="1:14" s="174" customFormat="1" ht="55.5" customHeight="1">
      <c r="A238" s="171">
        <v>110</v>
      </c>
      <c r="B238" s="171" t="s">
        <v>278</v>
      </c>
      <c r="C238" s="171">
        <v>4500110453</v>
      </c>
      <c r="D238" s="171">
        <v>7700671601</v>
      </c>
      <c r="E238" s="172" t="s">
        <v>461</v>
      </c>
      <c r="F238" s="172" t="s">
        <v>295</v>
      </c>
      <c r="G238" s="172" t="s">
        <v>281</v>
      </c>
      <c r="H238" s="172" t="s">
        <v>462</v>
      </c>
      <c r="I238" s="172" t="s">
        <v>283</v>
      </c>
      <c r="J238" s="172" t="s">
        <v>284</v>
      </c>
      <c r="K238" s="172" t="s">
        <v>530</v>
      </c>
      <c r="L238" s="172">
        <v>7090</v>
      </c>
      <c r="M238" s="173">
        <v>1</v>
      </c>
      <c r="N238" s="173" t="s">
        <v>286</v>
      </c>
    </row>
    <row r="239" spans="1:14" s="174" customFormat="1" ht="55.5" customHeight="1">
      <c r="A239" s="171">
        <v>110</v>
      </c>
      <c r="B239" s="171" t="s">
        <v>278</v>
      </c>
      <c r="C239" s="171">
        <v>4500110453</v>
      </c>
      <c r="D239" s="171">
        <v>7700671601</v>
      </c>
      <c r="E239" s="172" t="s">
        <v>461</v>
      </c>
      <c r="F239" s="172" t="s">
        <v>295</v>
      </c>
      <c r="G239" s="172" t="s">
        <v>281</v>
      </c>
      <c r="H239" s="172" t="s">
        <v>462</v>
      </c>
      <c r="I239" s="172" t="s">
        <v>283</v>
      </c>
      <c r="J239" s="172" t="s">
        <v>284</v>
      </c>
      <c r="K239" s="172" t="s">
        <v>531</v>
      </c>
      <c r="L239" s="172">
        <v>7090</v>
      </c>
      <c r="M239" s="173">
        <v>1</v>
      </c>
      <c r="N239" s="173" t="s">
        <v>286</v>
      </c>
    </row>
    <row r="240" spans="1:14" s="174" customFormat="1" ht="55.5" customHeight="1">
      <c r="A240" s="171">
        <v>110</v>
      </c>
      <c r="B240" s="171" t="s">
        <v>278</v>
      </c>
      <c r="C240" s="171">
        <v>4500110453</v>
      </c>
      <c r="D240" s="171">
        <v>7700671601</v>
      </c>
      <c r="E240" s="172" t="s">
        <v>461</v>
      </c>
      <c r="F240" s="172" t="s">
        <v>295</v>
      </c>
      <c r="G240" s="172" t="s">
        <v>281</v>
      </c>
      <c r="H240" s="172" t="s">
        <v>462</v>
      </c>
      <c r="I240" s="172" t="s">
        <v>283</v>
      </c>
      <c r="J240" s="172" t="s">
        <v>284</v>
      </c>
      <c r="K240" s="172" t="s">
        <v>532</v>
      </c>
      <c r="L240" s="172">
        <v>7090</v>
      </c>
      <c r="M240" s="173">
        <v>1</v>
      </c>
      <c r="N240" s="173" t="s">
        <v>286</v>
      </c>
    </row>
    <row r="241" spans="1:14" s="174" customFormat="1" ht="55.5" customHeight="1">
      <c r="A241" s="171">
        <v>110</v>
      </c>
      <c r="B241" s="171" t="s">
        <v>278</v>
      </c>
      <c r="C241" s="171">
        <v>4500110453</v>
      </c>
      <c r="D241" s="171">
        <v>7700671601</v>
      </c>
      <c r="E241" s="172" t="s">
        <v>461</v>
      </c>
      <c r="F241" s="172" t="s">
        <v>295</v>
      </c>
      <c r="G241" s="172" t="s">
        <v>281</v>
      </c>
      <c r="H241" s="172" t="s">
        <v>462</v>
      </c>
      <c r="I241" s="172" t="s">
        <v>283</v>
      </c>
      <c r="J241" s="172" t="s">
        <v>284</v>
      </c>
      <c r="K241" s="172" t="s">
        <v>533</v>
      </c>
      <c r="L241" s="172">
        <v>7090</v>
      </c>
      <c r="M241" s="173">
        <v>1</v>
      </c>
      <c r="N241" s="173" t="s">
        <v>286</v>
      </c>
    </row>
    <row r="242" spans="1:14" s="174" customFormat="1" ht="55.5" customHeight="1">
      <c r="A242" s="171">
        <v>110</v>
      </c>
      <c r="B242" s="171" t="s">
        <v>278</v>
      </c>
      <c r="C242" s="171">
        <v>4500110453</v>
      </c>
      <c r="D242" s="171">
        <v>7700671601</v>
      </c>
      <c r="E242" s="172" t="s">
        <v>461</v>
      </c>
      <c r="F242" s="172" t="s">
        <v>295</v>
      </c>
      <c r="G242" s="172" t="s">
        <v>281</v>
      </c>
      <c r="H242" s="172" t="s">
        <v>462</v>
      </c>
      <c r="I242" s="172" t="s">
        <v>283</v>
      </c>
      <c r="J242" s="172" t="s">
        <v>284</v>
      </c>
      <c r="K242" s="172" t="s">
        <v>534</v>
      </c>
      <c r="L242" s="172">
        <v>7090</v>
      </c>
      <c r="M242" s="173">
        <v>1</v>
      </c>
      <c r="N242" s="173" t="str">
        <f>_xlfn.XLOOKUP(K242,'[1]From CDC site verification P1 '!D:D,'[1]From CDC site verification P1 '!E:E,0,0)</f>
        <v>13-4034-BV-0044</v>
      </c>
    </row>
    <row r="243" spans="1:14" s="174" customFormat="1" ht="55.5" customHeight="1">
      <c r="A243" s="171">
        <v>110</v>
      </c>
      <c r="B243" s="171" t="s">
        <v>278</v>
      </c>
      <c r="C243" s="171">
        <v>4500110453</v>
      </c>
      <c r="D243" s="171">
        <v>7700671601</v>
      </c>
      <c r="E243" s="172" t="s">
        <v>461</v>
      </c>
      <c r="F243" s="172" t="s">
        <v>295</v>
      </c>
      <c r="G243" s="172" t="s">
        <v>281</v>
      </c>
      <c r="H243" s="172" t="s">
        <v>462</v>
      </c>
      <c r="I243" s="172" t="s">
        <v>283</v>
      </c>
      <c r="J243" s="172" t="s">
        <v>284</v>
      </c>
      <c r="K243" s="172" t="s">
        <v>535</v>
      </c>
      <c r="L243" s="172">
        <v>7090</v>
      </c>
      <c r="M243" s="173">
        <v>1</v>
      </c>
      <c r="N243" s="173" t="s">
        <v>286</v>
      </c>
    </row>
    <row r="244" spans="1:14" s="174" customFormat="1" ht="55.5" customHeight="1">
      <c r="A244" s="171">
        <v>110</v>
      </c>
      <c r="B244" s="171" t="s">
        <v>278</v>
      </c>
      <c r="C244" s="171">
        <v>4500110453</v>
      </c>
      <c r="D244" s="171">
        <v>7700671601</v>
      </c>
      <c r="E244" s="172" t="s">
        <v>461</v>
      </c>
      <c r="F244" s="172" t="s">
        <v>295</v>
      </c>
      <c r="G244" s="172" t="s">
        <v>281</v>
      </c>
      <c r="H244" s="172" t="s">
        <v>462</v>
      </c>
      <c r="I244" s="172" t="s">
        <v>283</v>
      </c>
      <c r="J244" s="172" t="s">
        <v>284</v>
      </c>
      <c r="K244" s="172" t="s">
        <v>536</v>
      </c>
      <c r="L244" s="172">
        <v>7090</v>
      </c>
      <c r="M244" s="173">
        <v>1</v>
      </c>
      <c r="N244" s="173" t="str">
        <f>_xlfn.XLOOKUP(K244,'[1]From CDC site verification P1 '!D:D,'[1]From CDC site verification P1 '!E:E,0,0)</f>
        <v>13-4034-BV-0111</v>
      </c>
    </row>
    <row r="245" spans="1:14" s="174" customFormat="1" ht="55.5" customHeight="1">
      <c r="A245" s="171">
        <v>110</v>
      </c>
      <c r="B245" s="171" t="s">
        <v>278</v>
      </c>
      <c r="C245" s="171">
        <v>4500110453</v>
      </c>
      <c r="D245" s="171">
        <v>7700671601</v>
      </c>
      <c r="E245" s="172" t="s">
        <v>461</v>
      </c>
      <c r="F245" s="172" t="s">
        <v>295</v>
      </c>
      <c r="G245" s="172" t="s">
        <v>281</v>
      </c>
      <c r="H245" s="172" t="s">
        <v>462</v>
      </c>
      <c r="I245" s="172" t="s">
        <v>283</v>
      </c>
      <c r="J245" s="172" t="s">
        <v>284</v>
      </c>
      <c r="K245" s="172" t="s">
        <v>537</v>
      </c>
      <c r="L245" s="172">
        <v>7090</v>
      </c>
      <c r="M245" s="173">
        <v>1</v>
      </c>
      <c r="N245" s="173" t="s">
        <v>286</v>
      </c>
    </row>
    <row r="246" spans="1:14" s="174" customFormat="1" ht="55.5" customHeight="1">
      <c r="A246" s="171">
        <v>110</v>
      </c>
      <c r="B246" s="171" t="s">
        <v>278</v>
      </c>
      <c r="C246" s="171">
        <v>4500110453</v>
      </c>
      <c r="D246" s="171">
        <v>7700671601</v>
      </c>
      <c r="E246" s="172" t="s">
        <v>461</v>
      </c>
      <c r="F246" s="172" t="s">
        <v>295</v>
      </c>
      <c r="G246" s="172" t="s">
        <v>281</v>
      </c>
      <c r="H246" s="172" t="s">
        <v>462</v>
      </c>
      <c r="I246" s="172" t="s">
        <v>283</v>
      </c>
      <c r="J246" s="172" t="s">
        <v>284</v>
      </c>
      <c r="K246" s="172" t="s">
        <v>538</v>
      </c>
      <c r="L246" s="172">
        <v>7090</v>
      </c>
      <c r="M246" s="173">
        <v>1</v>
      </c>
      <c r="N246" s="173" t="str">
        <f>_xlfn.XLOOKUP(K246,'[1]From CDC site verification P1 '!D:D,'[1]From CDC site verification P1 '!E:E,0,0)</f>
        <v>13-4034-BV-0058</v>
      </c>
    </row>
    <row r="247" spans="1:14" s="174" customFormat="1" ht="55.5" customHeight="1">
      <c r="A247" s="171">
        <v>110</v>
      </c>
      <c r="B247" s="171" t="s">
        <v>278</v>
      </c>
      <c r="C247" s="171">
        <v>4500110453</v>
      </c>
      <c r="D247" s="171">
        <v>7700671601</v>
      </c>
      <c r="E247" s="172" t="s">
        <v>461</v>
      </c>
      <c r="F247" s="172" t="s">
        <v>295</v>
      </c>
      <c r="G247" s="172" t="s">
        <v>281</v>
      </c>
      <c r="H247" s="172" t="s">
        <v>462</v>
      </c>
      <c r="I247" s="172" t="s">
        <v>283</v>
      </c>
      <c r="J247" s="172" t="s">
        <v>284</v>
      </c>
      <c r="K247" s="172" t="s">
        <v>539</v>
      </c>
      <c r="L247" s="172">
        <v>7090</v>
      </c>
      <c r="M247" s="173">
        <v>1</v>
      </c>
      <c r="N247" s="173" t="s">
        <v>286</v>
      </c>
    </row>
    <row r="248" spans="1:14" s="174" customFormat="1" ht="55.5" customHeight="1">
      <c r="A248" s="171">
        <v>110</v>
      </c>
      <c r="B248" s="171" t="s">
        <v>278</v>
      </c>
      <c r="C248" s="171">
        <v>4500110453</v>
      </c>
      <c r="D248" s="171">
        <v>7700671601</v>
      </c>
      <c r="E248" s="172" t="s">
        <v>461</v>
      </c>
      <c r="F248" s="172" t="s">
        <v>295</v>
      </c>
      <c r="G248" s="172" t="s">
        <v>281</v>
      </c>
      <c r="H248" s="172" t="s">
        <v>462</v>
      </c>
      <c r="I248" s="172" t="s">
        <v>283</v>
      </c>
      <c r="J248" s="172" t="s">
        <v>284</v>
      </c>
      <c r="K248" s="172" t="s">
        <v>540</v>
      </c>
      <c r="L248" s="172">
        <v>7090</v>
      </c>
      <c r="M248" s="173">
        <v>1</v>
      </c>
      <c r="N248" s="173" t="s">
        <v>286</v>
      </c>
    </row>
    <row r="249" spans="1:14" s="174" customFormat="1" ht="55.5" customHeight="1">
      <c r="A249" s="171">
        <v>110</v>
      </c>
      <c r="B249" s="171" t="s">
        <v>278</v>
      </c>
      <c r="C249" s="171">
        <v>4500110453</v>
      </c>
      <c r="D249" s="171">
        <v>7700671601</v>
      </c>
      <c r="E249" s="172" t="s">
        <v>461</v>
      </c>
      <c r="F249" s="172" t="s">
        <v>295</v>
      </c>
      <c r="G249" s="172" t="s">
        <v>281</v>
      </c>
      <c r="H249" s="172" t="s">
        <v>462</v>
      </c>
      <c r="I249" s="172" t="s">
        <v>283</v>
      </c>
      <c r="J249" s="172" t="s">
        <v>284</v>
      </c>
      <c r="K249" s="172" t="s">
        <v>541</v>
      </c>
      <c r="L249" s="172">
        <v>7090</v>
      </c>
      <c r="M249" s="173">
        <v>1</v>
      </c>
      <c r="N249" s="173" t="s">
        <v>286</v>
      </c>
    </row>
    <row r="250" spans="1:14" s="174" customFormat="1" ht="55.5" customHeight="1">
      <c r="A250" s="171">
        <v>120</v>
      </c>
      <c r="B250" s="171" t="s">
        <v>278</v>
      </c>
      <c r="C250" s="171">
        <v>4500110453</v>
      </c>
      <c r="D250" s="171">
        <v>7700671641</v>
      </c>
      <c r="E250" s="172" t="s">
        <v>461</v>
      </c>
      <c r="F250" s="172" t="s">
        <v>542</v>
      </c>
      <c r="G250" s="172" t="s">
        <v>281</v>
      </c>
      <c r="H250" s="172" t="s">
        <v>462</v>
      </c>
      <c r="I250" s="172" t="s">
        <v>283</v>
      </c>
      <c r="J250" s="172" t="s">
        <v>284</v>
      </c>
      <c r="K250" s="172" t="s">
        <v>543</v>
      </c>
      <c r="L250" s="172">
        <v>7090</v>
      </c>
      <c r="M250" s="173">
        <v>1</v>
      </c>
      <c r="N250" s="173" t="s">
        <v>286</v>
      </c>
    </row>
    <row r="251" spans="1:14" s="174" customFormat="1" ht="55.5" customHeight="1">
      <c r="A251" s="171">
        <v>130</v>
      </c>
      <c r="B251" s="171" t="s">
        <v>278</v>
      </c>
      <c r="C251" s="171">
        <v>4500110453</v>
      </c>
      <c r="D251" s="171">
        <v>7700671651</v>
      </c>
      <c r="E251" s="172" t="s">
        <v>461</v>
      </c>
      <c r="F251" s="172" t="s">
        <v>544</v>
      </c>
      <c r="G251" s="172" t="s">
        <v>281</v>
      </c>
      <c r="H251" s="172" t="s">
        <v>462</v>
      </c>
      <c r="I251" s="172" t="s">
        <v>283</v>
      </c>
      <c r="J251" s="172" t="s">
        <v>284</v>
      </c>
      <c r="K251" s="172" t="s">
        <v>545</v>
      </c>
      <c r="L251" s="172">
        <v>7090</v>
      </c>
      <c r="M251" s="173">
        <v>1</v>
      </c>
      <c r="N251" s="173" t="s">
        <v>286</v>
      </c>
    </row>
    <row r="252" spans="1:14" s="174" customFormat="1" ht="55.5" customHeight="1">
      <c r="A252" s="171">
        <v>130</v>
      </c>
      <c r="B252" s="171" t="s">
        <v>278</v>
      </c>
      <c r="C252" s="171">
        <v>4500110453</v>
      </c>
      <c r="D252" s="171">
        <v>7700671651</v>
      </c>
      <c r="E252" s="172" t="s">
        <v>461</v>
      </c>
      <c r="F252" s="172" t="s">
        <v>544</v>
      </c>
      <c r="G252" s="172" t="s">
        <v>281</v>
      </c>
      <c r="H252" s="172" t="s">
        <v>462</v>
      </c>
      <c r="I252" s="172" t="s">
        <v>283</v>
      </c>
      <c r="J252" s="172" t="s">
        <v>284</v>
      </c>
      <c r="K252" s="172" t="s">
        <v>546</v>
      </c>
      <c r="L252" s="172">
        <v>7090</v>
      </c>
      <c r="M252" s="173">
        <v>1</v>
      </c>
      <c r="N252" s="173" t="s">
        <v>286</v>
      </c>
    </row>
    <row r="253" spans="1:14" s="174" customFormat="1" ht="55.5" customHeight="1">
      <c r="A253" s="171">
        <v>140</v>
      </c>
      <c r="B253" s="171" t="s">
        <v>278</v>
      </c>
      <c r="C253" s="171">
        <v>4500110453</v>
      </c>
      <c r="D253" s="171">
        <v>7700671661</v>
      </c>
      <c r="E253" s="172" t="s">
        <v>461</v>
      </c>
      <c r="F253" s="172" t="s">
        <v>547</v>
      </c>
      <c r="G253" s="172" t="s">
        <v>281</v>
      </c>
      <c r="H253" s="172" t="s">
        <v>462</v>
      </c>
      <c r="I253" s="172" t="s">
        <v>283</v>
      </c>
      <c r="J253" s="172" t="s">
        <v>284</v>
      </c>
      <c r="K253" s="172" t="s">
        <v>548</v>
      </c>
      <c r="L253" s="172">
        <v>7090</v>
      </c>
      <c r="M253" s="173">
        <v>1</v>
      </c>
      <c r="N253" s="173" t="s">
        <v>286</v>
      </c>
    </row>
    <row r="254" spans="1:14" s="174" customFormat="1" ht="55.5" customHeight="1">
      <c r="A254" s="171">
        <v>150</v>
      </c>
      <c r="B254" s="171" t="s">
        <v>278</v>
      </c>
      <c r="C254" s="171">
        <v>4500110453</v>
      </c>
      <c r="D254" s="171">
        <v>7707031531</v>
      </c>
      <c r="E254" s="172" t="s">
        <v>279</v>
      </c>
      <c r="F254" s="172" t="s">
        <v>549</v>
      </c>
      <c r="G254" s="172" t="s">
        <v>281</v>
      </c>
      <c r="H254" s="172" t="s">
        <v>550</v>
      </c>
      <c r="I254" s="172" t="s">
        <v>551</v>
      </c>
      <c r="J254" s="172" t="s">
        <v>552</v>
      </c>
      <c r="K254" s="172" t="s">
        <v>553</v>
      </c>
      <c r="L254" s="172" t="s">
        <v>157</v>
      </c>
      <c r="M254" s="173">
        <v>1</v>
      </c>
      <c r="N254" s="173" t="str">
        <f>_xlfn.XLOOKUP(K254,'[1]From CDC site verification P1 '!D:D,'[1]From CDC site verification P1 '!E:E,0,0)</f>
        <v>13-4034-BV-0092</v>
      </c>
    </row>
    <row r="255" spans="1:14" s="174" customFormat="1" ht="55.5" customHeight="1">
      <c r="A255" s="171">
        <v>150</v>
      </c>
      <c r="B255" s="171" t="s">
        <v>278</v>
      </c>
      <c r="C255" s="171">
        <v>4500110453</v>
      </c>
      <c r="D255" s="171">
        <v>7707031531</v>
      </c>
      <c r="E255" s="172" t="s">
        <v>279</v>
      </c>
      <c r="F255" s="172" t="s">
        <v>549</v>
      </c>
      <c r="G255" s="172" t="s">
        <v>281</v>
      </c>
      <c r="H255" s="172" t="s">
        <v>550</v>
      </c>
      <c r="I255" s="172" t="s">
        <v>551</v>
      </c>
      <c r="J255" s="172" t="s">
        <v>552</v>
      </c>
      <c r="K255" s="172" t="s">
        <v>554</v>
      </c>
      <c r="L255" s="172" t="s">
        <v>157</v>
      </c>
      <c r="M255" s="173">
        <v>1</v>
      </c>
      <c r="N255" s="173" t="str">
        <f>_xlfn.XLOOKUP(K255,'[1]From CDC site verification P1 '!D:D,'[1]From CDC site verification P1 '!E:E,0,0)</f>
        <v>13-4034-BV-0191</v>
      </c>
    </row>
    <row r="256" spans="1:14" s="174" customFormat="1" ht="55.5" customHeight="1">
      <c r="A256" s="171">
        <v>150</v>
      </c>
      <c r="B256" s="171" t="s">
        <v>278</v>
      </c>
      <c r="C256" s="171">
        <v>4500110453</v>
      </c>
      <c r="D256" s="171">
        <v>7707031531</v>
      </c>
      <c r="E256" s="172" t="s">
        <v>279</v>
      </c>
      <c r="F256" s="172" t="s">
        <v>549</v>
      </c>
      <c r="G256" s="172" t="s">
        <v>281</v>
      </c>
      <c r="H256" s="172" t="s">
        <v>550</v>
      </c>
      <c r="I256" s="172" t="s">
        <v>551</v>
      </c>
      <c r="J256" s="172" t="s">
        <v>552</v>
      </c>
      <c r="K256" s="172" t="s">
        <v>555</v>
      </c>
      <c r="L256" s="172" t="s">
        <v>157</v>
      </c>
      <c r="M256" s="173">
        <v>1</v>
      </c>
      <c r="N256" s="173" t="s">
        <v>286</v>
      </c>
    </row>
    <row r="257" spans="1:14" s="174" customFormat="1" ht="55.5" customHeight="1">
      <c r="A257" s="171">
        <v>150</v>
      </c>
      <c r="B257" s="171" t="s">
        <v>278</v>
      </c>
      <c r="C257" s="171">
        <v>4500110453</v>
      </c>
      <c r="D257" s="171">
        <v>7707031531</v>
      </c>
      <c r="E257" s="172" t="s">
        <v>279</v>
      </c>
      <c r="F257" s="172" t="s">
        <v>549</v>
      </c>
      <c r="G257" s="172" t="s">
        <v>281</v>
      </c>
      <c r="H257" s="172" t="s">
        <v>550</v>
      </c>
      <c r="I257" s="172" t="s">
        <v>551</v>
      </c>
      <c r="J257" s="172" t="s">
        <v>552</v>
      </c>
      <c r="K257" s="172" t="s">
        <v>556</v>
      </c>
      <c r="L257" s="172" t="s">
        <v>157</v>
      </c>
      <c r="M257" s="173">
        <v>1</v>
      </c>
      <c r="N257" s="173" t="str">
        <f>_xlfn.XLOOKUP(K257,'[1]From CDC site verification P1 '!D:D,'[1]From CDC site verification P1 '!E:E,0,0)</f>
        <v>13-4034-BV-0095</v>
      </c>
    </row>
    <row r="258" spans="1:14" s="174" customFormat="1" ht="55.5" customHeight="1">
      <c r="A258" s="171">
        <v>150</v>
      </c>
      <c r="B258" s="171" t="s">
        <v>278</v>
      </c>
      <c r="C258" s="171">
        <v>4500110453</v>
      </c>
      <c r="D258" s="171">
        <v>7707031531</v>
      </c>
      <c r="E258" s="172" t="s">
        <v>279</v>
      </c>
      <c r="F258" s="172" t="s">
        <v>549</v>
      </c>
      <c r="G258" s="172" t="s">
        <v>281</v>
      </c>
      <c r="H258" s="172" t="s">
        <v>550</v>
      </c>
      <c r="I258" s="172" t="s">
        <v>551</v>
      </c>
      <c r="J258" s="172" t="s">
        <v>552</v>
      </c>
      <c r="K258" s="172" t="s">
        <v>557</v>
      </c>
      <c r="L258" s="172" t="s">
        <v>157</v>
      </c>
      <c r="M258" s="173">
        <v>1</v>
      </c>
      <c r="N258" s="173" t="s">
        <v>286</v>
      </c>
    </row>
    <row r="259" spans="1:14" s="174" customFormat="1" ht="55.5" customHeight="1">
      <c r="A259" s="171">
        <v>150</v>
      </c>
      <c r="B259" s="171" t="s">
        <v>278</v>
      </c>
      <c r="C259" s="171">
        <v>4500110453</v>
      </c>
      <c r="D259" s="171">
        <v>7707031531</v>
      </c>
      <c r="E259" s="172" t="s">
        <v>279</v>
      </c>
      <c r="F259" s="172" t="s">
        <v>549</v>
      </c>
      <c r="G259" s="172" t="s">
        <v>281</v>
      </c>
      <c r="H259" s="172" t="s">
        <v>550</v>
      </c>
      <c r="I259" s="172" t="s">
        <v>551</v>
      </c>
      <c r="J259" s="172" t="s">
        <v>552</v>
      </c>
      <c r="K259" s="172" t="s">
        <v>558</v>
      </c>
      <c r="L259" s="172" t="s">
        <v>157</v>
      </c>
      <c r="M259" s="173">
        <v>1</v>
      </c>
      <c r="N259" s="173" t="s">
        <v>286</v>
      </c>
    </row>
    <row r="260" spans="1:14" s="174" customFormat="1" ht="55.5" customHeight="1">
      <c r="A260" s="171">
        <v>150</v>
      </c>
      <c r="B260" s="171" t="s">
        <v>278</v>
      </c>
      <c r="C260" s="171">
        <v>4500110453</v>
      </c>
      <c r="D260" s="171">
        <v>7707031531</v>
      </c>
      <c r="E260" s="172" t="s">
        <v>279</v>
      </c>
      <c r="F260" s="172" t="s">
        <v>549</v>
      </c>
      <c r="G260" s="172" t="s">
        <v>281</v>
      </c>
      <c r="H260" s="172" t="s">
        <v>550</v>
      </c>
      <c r="I260" s="172" t="s">
        <v>551</v>
      </c>
      <c r="J260" s="172" t="s">
        <v>552</v>
      </c>
      <c r="K260" s="172" t="s">
        <v>559</v>
      </c>
      <c r="L260" s="172" t="s">
        <v>157</v>
      </c>
      <c r="M260" s="173">
        <v>1</v>
      </c>
      <c r="N260" s="173" t="s">
        <v>286</v>
      </c>
    </row>
    <row r="261" spans="1:14" s="174" customFormat="1" ht="55.5" customHeight="1">
      <c r="A261" s="171">
        <v>150</v>
      </c>
      <c r="B261" s="171" t="s">
        <v>278</v>
      </c>
      <c r="C261" s="171">
        <v>4500110453</v>
      </c>
      <c r="D261" s="171">
        <v>7707031531</v>
      </c>
      <c r="E261" s="172" t="s">
        <v>279</v>
      </c>
      <c r="F261" s="172" t="s">
        <v>549</v>
      </c>
      <c r="G261" s="172" t="s">
        <v>281</v>
      </c>
      <c r="H261" s="172" t="s">
        <v>550</v>
      </c>
      <c r="I261" s="172" t="s">
        <v>551</v>
      </c>
      <c r="J261" s="172" t="s">
        <v>552</v>
      </c>
      <c r="K261" s="172" t="s">
        <v>560</v>
      </c>
      <c r="L261" s="172" t="s">
        <v>157</v>
      </c>
      <c r="M261" s="173">
        <v>1</v>
      </c>
      <c r="N261" s="173" t="s">
        <v>286</v>
      </c>
    </row>
    <row r="262" spans="1:14" s="174" customFormat="1" ht="55.5" customHeight="1">
      <c r="A262" s="171">
        <v>150</v>
      </c>
      <c r="B262" s="171" t="s">
        <v>278</v>
      </c>
      <c r="C262" s="171">
        <v>4500110453</v>
      </c>
      <c r="D262" s="171">
        <v>7707031531</v>
      </c>
      <c r="E262" s="172" t="s">
        <v>279</v>
      </c>
      <c r="F262" s="172" t="s">
        <v>549</v>
      </c>
      <c r="G262" s="172" t="s">
        <v>281</v>
      </c>
      <c r="H262" s="172" t="s">
        <v>550</v>
      </c>
      <c r="I262" s="172" t="s">
        <v>551</v>
      </c>
      <c r="J262" s="172" t="s">
        <v>552</v>
      </c>
      <c r="K262" s="172" t="s">
        <v>561</v>
      </c>
      <c r="L262" s="172" t="s">
        <v>157</v>
      </c>
      <c r="M262" s="173">
        <v>1</v>
      </c>
      <c r="N262" s="173" t="str">
        <f>_xlfn.XLOOKUP(K262,'[1]From CDC site verification P1 '!D:D,'[1]From CDC site verification P1 '!E:E,0,0)</f>
        <v>13-4034-BV-0093</v>
      </c>
    </row>
    <row r="263" spans="1:14" s="174" customFormat="1" ht="55.5" customHeight="1">
      <c r="A263" s="171">
        <v>150</v>
      </c>
      <c r="B263" s="171" t="s">
        <v>278</v>
      </c>
      <c r="C263" s="171">
        <v>4500110453</v>
      </c>
      <c r="D263" s="171">
        <v>7707031531</v>
      </c>
      <c r="E263" s="172" t="s">
        <v>279</v>
      </c>
      <c r="F263" s="172" t="s">
        <v>549</v>
      </c>
      <c r="G263" s="172" t="s">
        <v>281</v>
      </c>
      <c r="H263" s="172" t="s">
        <v>550</v>
      </c>
      <c r="I263" s="172" t="s">
        <v>551</v>
      </c>
      <c r="J263" s="172" t="s">
        <v>552</v>
      </c>
      <c r="K263" s="172" t="s">
        <v>562</v>
      </c>
      <c r="L263" s="172" t="s">
        <v>157</v>
      </c>
      <c r="M263" s="173">
        <v>1</v>
      </c>
      <c r="N263" s="173" t="s">
        <v>286</v>
      </c>
    </row>
    <row r="264" spans="1:14" s="174" customFormat="1" ht="55.5" customHeight="1">
      <c r="A264" s="171">
        <v>150</v>
      </c>
      <c r="B264" s="171" t="s">
        <v>278</v>
      </c>
      <c r="C264" s="171">
        <v>4500110453</v>
      </c>
      <c r="D264" s="171">
        <v>7707031531</v>
      </c>
      <c r="E264" s="172" t="s">
        <v>279</v>
      </c>
      <c r="F264" s="172" t="s">
        <v>549</v>
      </c>
      <c r="G264" s="172" t="s">
        <v>281</v>
      </c>
      <c r="H264" s="172" t="s">
        <v>550</v>
      </c>
      <c r="I264" s="172" t="s">
        <v>551</v>
      </c>
      <c r="J264" s="172" t="s">
        <v>552</v>
      </c>
      <c r="K264" s="172" t="s">
        <v>563</v>
      </c>
      <c r="L264" s="172" t="s">
        <v>157</v>
      </c>
      <c r="M264" s="173">
        <v>1</v>
      </c>
      <c r="N264" s="173" t="s">
        <v>286</v>
      </c>
    </row>
    <row r="265" spans="1:14" s="174" customFormat="1" ht="55.5" customHeight="1">
      <c r="A265" s="171">
        <v>150</v>
      </c>
      <c r="B265" s="171" t="s">
        <v>278</v>
      </c>
      <c r="C265" s="171">
        <v>4500110453</v>
      </c>
      <c r="D265" s="171">
        <v>7707031531</v>
      </c>
      <c r="E265" s="172" t="s">
        <v>279</v>
      </c>
      <c r="F265" s="172" t="s">
        <v>549</v>
      </c>
      <c r="G265" s="172" t="s">
        <v>281</v>
      </c>
      <c r="H265" s="172" t="s">
        <v>550</v>
      </c>
      <c r="I265" s="172" t="s">
        <v>551</v>
      </c>
      <c r="J265" s="172" t="s">
        <v>552</v>
      </c>
      <c r="K265" s="172" t="s">
        <v>564</v>
      </c>
      <c r="L265" s="172" t="s">
        <v>157</v>
      </c>
      <c r="M265" s="173">
        <v>1</v>
      </c>
      <c r="N265" s="173" t="s">
        <v>286</v>
      </c>
    </row>
    <row r="266" spans="1:14" s="174" customFormat="1" ht="55.5" customHeight="1">
      <c r="A266" s="171">
        <v>150</v>
      </c>
      <c r="B266" s="171" t="s">
        <v>278</v>
      </c>
      <c r="C266" s="171">
        <v>4500110453</v>
      </c>
      <c r="D266" s="171">
        <v>7707031531</v>
      </c>
      <c r="E266" s="172" t="s">
        <v>279</v>
      </c>
      <c r="F266" s="172" t="s">
        <v>549</v>
      </c>
      <c r="G266" s="172" t="s">
        <v>281</v>
      </c>
      <c r="H266" s="172" t="s">
        <v>550</v>
      </c>
      <c r="I266" s="172" t="s">
        <v>551</v>
      </c>
      <c r="J266" s="172" t="s">
        <v>552</v>
      </c>
      <c r="K266" s="172" t="s">
        <v>565</v>
      </c>
      <c r="L266" s="172" t="s">
        <v>157</v>
      </c>
      <c r="M266" s="173">
        <v>1</v>
      </c>
      <c r="N266" s="173" t="s">
        <v>286</v>
      </c>
    </row>
    <row r="267" spans="1:14" s="174" customFormat="1" ht="55.5" customHeight="1">
      <c r="A267" s="171">
        <v>150</v>
      </c>
      <c r="B267" s="171" t="s">
        <v>278</v>
      </c>
      <c r="C267" s="171">
        <v>4500110453</v>
      </c>
      <c r="D267" s="171">
        <v>7707031531</v>
      </c>
      <c r="E267" s="172" t="s">
        <v>279</v>
      </c>
      <c r="F267" s="172" t="s">
        <v>549</v>
      </c>
      <c r="G267" s="172" t="s">
        <v>281</v>
      </c>
      <c r="H267" s="172" t="s">
        <v>550</v>
      </c>
      <c r="I267" s="172" t="s">
        <v>551</v>
      </c>
      <c r="J267" s="172" t="s">
        <v>552</v>
      </c>
      <c r="K267" s="172" t="s">
        <v>566</v>
      </c>
      <c r="L267" s="172" t="s">
        <v>157</v>
      </c>
      <c r="M267" s="173">
        <v>1</v>
      </c>
      <c r="N267" s="173" t="s">
        <v>286</v>
      </c>
    </row>
    <row r="268" spans="1:14" s="174" customFormat="1" ht="55.5" customHeight="1">
      <c r="A268" s="171">
        <v>150</v>
      </c>
      <c r="B268" s="171" t="s">
        <v>278</v>
      </c>
      <c r="C268" s="171">
        <v>4500110453</v>
      </c>
      <c r="D268" s="171">
        <v>7707031531</v>
      </c>
      <c r="E268" s="172" t="s">
        <v>279</v>
      </c>
      <c r="F268" s="172" t="s">
        <v>549</v>
      </c>
      <c r="G268" s="172" t="s">
        <v>281</v>
      </c>
      <c r="H268" s="172" t="s">
        <v>550</v>
      </c>
      <c r="I268" s="172" t="s">
        <v>551</v>
      </c>
      <c r="J268" s="172" t="s">
        <v>552</v>
      </c>
      <c r="K268" s="172" t="s">
        <v>567</v>
      </c>
      <c r="L268" s="172" t="s">
        <v>157</v>
      </c>
      <c r="M268" s="173">
        <v>1</v>
      </c>
      <c r="N268" s="173" t="s">
        <v>286</v>
      </c>
    </row>
    <row r="269" spans="1:14" s="174" customFormat="1" ht="55.5" customHeight="1">
      <c r="A269" s="171">
        <v>150</v>
      </c>
      <c r="B269" s="171" t="s">
        <v>278</v>
      </c>
      <c r="C269" s="171">
        <v>4500110453</v>
      </c>
      <c r="D269" s="171">
        <v>7707031531</v>
      </c>
      <c r="E269" s="172" t="s">
        <v>279</v>
      </c>
      <c r="F269" s="172" t="s">
        <v>549</v>
      </c>
      <c r="G269" s="172" t="s">
        <v>281</v>
      </c>
      <c r="H269" s="172" t="s">
        <v>550</v>
      </c>
      <c r="I269" s="172" t="s">
        <v>551</v>
      </c>
      <c r="J269" s="172" t="s">
        <v>552</v>
      </c>
      <c r="K269" s="172" t="s">
        <v>568</v>
      </c>
      <c r="L269" s="172" t="s">
        <v>157</v>
      </c>
      <c r="M269" s="173">
        <v>1</v>
      </c>
      <c r="N269" s="173" t="s">
        <v>286</v>
      </c>
    </row>
    <row r="270" spans="1:14" s="174" customFormat="1" ht="55.5" customHeight="1">
      <c r="A270" s="171">
        <v>150</v>
      </c>
      <c r="B270" s="171" t="s">
        <v>278</v>
      </c>
      <c r="C270" s="171">
        <v>4500110453</v>
      </c>
      <c r="D270" s="171">
        <v>7707031531</v>
      </c>
      <c r="E270" s="172" t="s">
        <v>279</v>
      </c>
      <c r="F270" s="172" t="s">
        <v>549</v>
      </c>
      <c r="G270" s="172" t="s">
        <v>281</v>
      </c>
      <c r="H270" s="172" t="s">
        <v>550</v>
      </c>
      <c r="I270" s="172" t="s">
        <v>551</v>
      </c>
      <c r="J270" s="172" t="s">
        <v>552</v>
      </c>
      <c r="K270" s="172" t="s">
        <v>569</v>
      </c>
      <c r="L270" s="172" t="s">
        <v>157</v>
      </c>
      <c r="M270" s="173">
        <v>1</v>
      </c>
      <c r="N270" s="173" t="str">
        <f>_xlfn.XLOOKUP(K270,'[1]From CDC site verification P1 '!D:D,'[1]From CDC site verification P1 '!E:E,0,0)</f>
        <v>13-4034-BV-0186</v>
      </c>
    </row>
    <row r="271" spans="1:14" s="174" customFormat="1" ht="55.5" customHeight="1">
      <c r="A271" s="171">
        <v>150</v>
      </c>
      <c r="B271" s="171" t="s">
        <v>278</v>
      </c>
      <c r="C271" s="171">
        <v>4500110453</v>
      </c>
      <c r="D271" s="171">
        <v>7707031531</v>
      </c>
      <c r="E271" s="172" t="s">
        <v>279</v>
      </c>
      <c r="F271" s="172" t="s">
        <v>549</v>
      </c>
      <c r="G271" s="172" t="s">
        <v>281</v>
      </c>
      <c r="H271" s="172" t="s">
        <v>550</v>
      </c>
      <c r="I271" s="172" t="s">
        <v>551</v>
      </c>
      <c r="J271" s="172" t="s">
        <v>552</v>
      </c>
      <c r="K271" s="172" t="s">
        <v>570</v>
      </c>
      <c r="L271" s="172" t="s">
        <v>157</v>
      </c>
      <c r="M271" s="173">
        <v>1</v>
      </c>
      <c r="N271" s="173" t="s">
        <v>286</v>
      </c>
    </row>
    <row r="272" spans="1:14" s="174" customFormat="1" ht="55.5" customHeight="1">
      <c r="A272" s="171">
        <v>150</v>
      </c>
      <c r="B272" s="171" t="s">
        <v>278</v>
      </c>
      <c r="C272" s="171">
        <v>4500110453</v>
      </c>
      <c r="D272" s="171">
        <v>7707031531</v>
      </c>
      <c r="E272" s="172" t="s">
        <v>279</v>
      </c>
      <c r="F272" s="172" t="s">
        <v>549</v>
      </c>
      <c r="G272" s="172" t="s">
        <v>281</v>
      </c>
      <c r="H272" s="172" t="s">
        <v>550</v>
      </c>
      <c r="I272" s="172" t="s">
        <v>551</v>
      </c>
      <c r="J272" s="172" t="s">
        <v>552</v>
      </c>
      <c r="K272" s="172" t="s">
        <v>571</v>
      </c>
      <c r="L272" s="172" t="s">
        <v>157</v>
      </c>
      <c r="M272" s="173">
        <v>1</v>
      </c>
      <c r="N272" s="173" t="s">
        <v>286</v>
      </c>
    </row>
    <row r="273" spans="1:14" s="174" customFormat="1" ht="55.5" customHeight="1">
      <c r="A273" s="171">
        <v>150</v>
      </c>
      <c r="B273" s="171" t="s">
        <v>278</v>
      </c>
      <c r="C273" s="171">
        <v>4500110453</v>
      </c>
      <c r="D273" s="171">
        <v>7707031531</v>
      </c>
      <c r="E273" s="172" t="s">
        <v>279</v>
      </c>
      <c r="F273" s="172" t="s">
        <v>549</v>
      </c>
      <c r="G273" s="172" t="s">
        <v>281</v>
      </c>
      <c r="H273" s="172" t="s">
        <v>550</v>
      </c>
      <c r="I273" s="172" t="s">
        <v>551</v>
      </c>
      <c r="J273" s="172" t="s">
        <v>552</v>
      </c>
      <c r="K273" s="172" t="s">
        <v>572</v>
      </c>
      <c r="L273" s="172" t="s">
        <v>157</v>
      </c>
      <c r="M273" s="173">
        <v>1</v>
      </c>
      <c r="N273" s="173" t="str">
        <f>_xlfn.XLOOKUP(K273,'[1]From CDC site verification P1 '!D:D,'[1]From CDC site verification P1 '!E:E,0,0)</f>
        <v>13-4034-BV-0086</v>
      </c>
    </row>
    <row r="274" spans="1:14" s="174" customFormat="1" ht="55.5" customHeight="1">
      <c r="A274" s="171">
        <v>150</v>
      </c>
      <c r="B274" s="171" t="s">
        <v>278</v>
      </c>
      <c r="C274" s="171">
        <v>4500110453</v>
      </c>
      <c r="D274" s="171">
        <v>7707031531</v>
      </c>
      <c r="E274" s="172" t="s">
        <v>279</v>
      </c>
      <c r="F274" s="172" t="s">
        <v>549</v>
      </c>
      <c r="G274" s="172" t="s">
        <v>281</v>
      </c>
      <c r="H274" s="172" t="s">
        <v>550</v>
      </c>
      <c r="I274" s="172" t="s">
        <v>551</v>
      </c>
      <c r="J274" s="172" t="s">
        <v>552</v>
      </c>
      <c r="K274" s="172" t="s">
        <v>573</v>
      </c>
      <c r="L274" s="172" t="s">
        <v>157</v>
      </c>
      <c r="M274" s="173">
        <v>1</v>
      </c>
      <c r="N274" s="173" t="s">
        <v>286</v>
      </c>
    </row>
    <row r="275" spans="1:14" s="174" customFormat="1" ht="55.5" customHeight="1">
      <c r="A275" s="171">
        <v>150</v>
      </c>
      <c r="B275" s="171" t="s">
        <v>278</v>
      </c>
      <c r="C275" s="171">
        <v>4500110453</v>
      </c>
      <c r="D275" s="171">
        <v>7707031531</v>
      </c>
      <c r="E275" s="172" t="s">
        <v>279</v>
      </c>
      <c r="F275" s="172" t="s">
        <v>549</v>
      </c>
      <c r="G275" s="172" t="s">
        <v>281</v>
      </c>
      <c r="H275" s="172" t="s">
        <v>550</v>
      </c>
      <c r="I275" s="172" t="s">
        <v>551</v>
      </c>
      <c r="J275" s="172" t="s">
        <v>552</v>
      </c>
      <c r="K275" s="172" t="s">
        <v>574</v>
      </c>
      <c r="L275" s="172" t="s">
        <v>157</v>
      </c>
      <c r="M275" s="173">
        <v>1</v>
      </c>
      <c r="N275" s="173" t="s">
        <v>286</v>
      </c>
    </row>
    <row r="276" spans="1:14" s="174" customFormat="1" ht="55.5" customHeight="1">
      <c r="A276" s="171">
        <v>150</v>
      </c>
      <c r="B276" s="171" t="s">
        <v>278</v>
      </c>
      <c r="C276" s="171">
        <v>4500110453</v>
      </c>
      <c r="D276" s="171">
        <v>7707031531</v>
      </c>
      <c r="E276" s="172" t="s">
        <v>279</v>
      </c>
      <c r="F276" s="172" t="s">
        <v>549</v>
      </c>
      <c r="G276" s="172" t="s">
        <v>281</v>
      </c>
      <c r="H276" s="172" t="s">
        <v>550</v>
      </c>
      <c r="I276" s="172" t="s">
        <v>551</v>
      </c>
      <c r="J276" s="172" t="s">
        <v>552</v>
      </c>
      <c r="K276" s="172" t="s">
        <v>575</v>
      </c>
      <c r="L276" s="172" t="s">
        <v>157</v>
      </c>
      <c r="M276" s="173">
        <v>1</v>
      </c>
      <c r="N276" s="173" t="s">
        <v>286</v>
      </c>
    </row>
    <row r="277" spans="1:14" s="174" customFormat="1" ht="55.5" customHeight="1">
      <c r="A277" s="171">
        <v>150</v>
      </c>
      <c r="B277" s="171" t="s">
        <v>278</v>
      </c>
      <c r="C277" s="171">
        <v>4500110453</v>
      </c>
      <c r="D277" s="171">
        <v>7707031531</v>
      </c>
      <c r="E277" s="172" t="s">
        <v>279</v>
      </c>
      <c r="F277" s="172" t="s">
        <v>549</v>
      </c>
      <c r="G277" s="172" t="s">
        <v>281</v>
      </c>
      <c r="H277" s="172" t="s">
        <v>550</v>
      </c>
      <c r="I277" s="172" t="s">
        <v>551</v>
      </c>
      <c r="J277" s="172" t="s">
        <v>552</v>
      </c>
      <c r="K277" s="172" t="s">
        <v>576</v>
      </c>
      <c r="L277" s="172" t="s">
        <v>157</v>
      </c>
      <c r="M277" s="173">
        <v>1</v>
      </c>
      <c r="N277" s="173" t="s">
        <v>286</v>
      </c>
    </row>
    <row r="278" spans="1:14" s="174" customFormat="1" ht="55.5" customHeight="1">
      <c r="A278" s="171">
        <v>150</v>
      </c>
      <c r="B278" s="171" t="s">
        <v>278</v>
      </c>
      <c r="C278" s="171">
        <v>4500110453</v>
      </c>
      <c r="D278" s="171">
        <v>7707031531</v>
      </c>
      <c r="E278" s="172" t="s">
        <v>279</v>
      </c>
      <c r="F278" s="172" t="s">
        <v>549</v>
      </c>
      <c r="G278" s="172" t="s">
        <v>281</v>
      </c>
      <c r="H278" s="172" t="s">
        <v>550</v>
      </c>
      <c r="I278" s="172" t="s">
        <v>551</v>
      </c>
      <c r="J278" s="172" t="s">
        <v>552</v>
      </c>
      <c r="K278" s="172" t="s">
        <v>577</v>
      </c>
      <c r="L278" s="172" t="s">
        <v>157</v>
      </c>
      <c r="M278" s="173">
        <v>1</v>
      </c>
      <c r="N278" s="173" t="s">
        <v>286</v>
      </c>
    </row>
    <row r="279" spans="1:14" s="174" customFormat="1" ht="55.5" customHeight="1">
      <c r="A279" s="171">
        <v>150</v>
      </c>
      <c r="B279" s="171" t="s">
        <v>278</v>
      </c>
      <c r="C279" s="171">
        <v>4500110453</v>
      </c>
      <c r="D279" s="171">
        <v>7707031531</v>
      </c>
      <c r="E279" s="172" t="s">
        <v>279</v>
      </c>
      <c r="F279" s="172" t="s">
        <v>549</v>
      </c>
      <c r="G279" s="172" t="s">
        <v>281</v>
      </c>
      <c r="H279" s="172" t="s">
        <v>550</v>
      </c>
      <c r="I279" s="172" t="s">
        <v>551</v>
      </c>
      <c r="J279" s="172" t="s">
        <v>552</v>
      </c>
      <c r="K279" s="172" t="s">
        <v>578</v>
      </c>
      <c r="L279" s="172" t="s">
        <v>157</v>
      </c>
      <c r="M279" s="173">
        <v>1</v>
      </c>
      <c r="N279" s="173" t="str">
        <f>_xlfn.XLOOKUP(K279,'[1]From CDC site verification P1 '!D:D,'[1]From CDC site verification P1 '!E:E,0,0)</f>
        <v>13-4034-BV-0183</v>
      </c>
    </row>
    <row r="280" spans="1:14" s="174" customFormat="1" ht="55.5" customHeight="1">
      <c r="A280" s="171">
        <v>150</v>
      </c>
      <c r="B280" s="171" t="s">
        <v>278</v>
      </c>
      <c r="C280" s="171">
        <v>4500110453</v>
      </c>
      <c r="D280" s="171">
        <v>7707031531</v>
      </c>
      <c r="E280" s="172" t="s">
        <v>279</v>
      </c>
      <c r="F280" s="172" t="s">
        <v>549</v>
      </c>
      <c r="G280" s="172" t="s">
        <v>281</v>
      </c>
      <c r="H280" s="172" t="s">
        <v>550</v>
      </c>
      <c r="I280" s="172" t="s">
        <v>551</v>
      </c>
      <c r="J280" s="172" t="s">
        <v>552</v>
      </c>
      <c r="K280" s="172" t="s">
        <v>579</v>
      </c>
      <c r="L280" s="172" t="s">
        <v>157</v>
      </c>
      <c r="M280" s="173">
        <v>1</v>
      </c>
      <c r="N280" s="173" t="str">
        <f>_xlfn.XLOOKUP(K280,'[1]From CDC site verification P1 '!D:D,'[1]From CDC site verification P1 '!E:E,0,0)</f>
        <v>13-4034-BV-0181</v>
      </c>
    </row>
    <row r="281" spans="1:14" s="174" customFormat="1" ht="55.5" customHeight="1">
      <c r="A281" s="171">
        <v>150</v>
      </c>
      <c r="B281" s="171" t="s">
        <v>278</v>
      </c>
      <c r="C281" s="171">
        <v>4500110453</v>
      </c>
      <c r="D281" s="171">
        <v>7707031531</v>
      </c>
      <c r="E281" s="172" t="s">
        <v>279</v>
      </c>
      <c r="F281" s="172" t="s">
        <v>549</v>
      </c>
      <c r="G281" s="172" t="s">
        <v>281</v>
      </c>
      <c r="H281" s="172" t="s">
        <v>550</v>
      </c>
      <c r="I281" s="172" t="s">
        <v>551</v>
      </c>
      <c r="J281" s="172" t="s">
        <v>552</v>
      </c>
      <c r="K281" s="172" t="s">
        <v>580</v>
      </c>
      <c r="L281" s="172" t="s">
        <v>157</v>
      </c>
      <c r="M281" s="173">
        <v>1</v>
      </c>
      <c r="N281" s="173" t="str">
        <f>_xlfn.XLOOKUP(K281,'[1]From CDC site verification P1 '!D:D,'[1]From CDC site verification P1 '!E:E,0,0)</f>
        <v>13-4034-BV-0091</v>
      </c>
    </row>
    <row r="282" spans="1:14" s="174" customFormat="1" ht="55.5" customHeight="1">
      <c r="A282" s="171">
        <v>150</v>
      </c>
      <c r="B282" s="171" t="s">
        <v>278</v>
      </c>
      <c r="C282" s="171">
        <v>4500110453</v>
      </c>
      <c r="D282" s="171">
        <v>7707031531</v>
      </c>
      <c r="E282" s="172" t="s">
        <v>279</v>
      </c>
      <c r="F282" s="172" t="s">
        <v>549</v>
      </c>
      <c r="G282" s="172" t="s">
        <v>281</v>
      </c>
      <c r="H282" s="172" t="s">
        <v>550</v>
      </c>
      <c r="I282" s="172" t="s">
        <v>551</v>
      </c>
      <c r="J282" s="172" t="s">
        <v>552</v>
      </c>
      <c r="K282" s="172" t="s">
        <v>581</v>
      </c>
      <c r="L282" s="172" t="s">
        <v>157</v>
      </c>
      <c r="M282" s="173">
        <v>1</v>
      </c>
      <c r="N282" s="173" t="s">
        <v>286</v>
      </c>
    </row>
    <row r="283" spans="1:14" s="174" customFormat="1" ht="55.5" customHeight="1">
      <c r="A283" s="171">
        <v>150</v>
      </c>
      <c r="B283" s="171" t="s">
        <v>278</v>
      </c>
      <c r="C283" s="171">
        <v>4500110453</v>
      </c>
      <c r="D283" s="171">
        <v>7707031531</v>
      </c>
      <c r="E283" s="172" t="s">
        <v>279</v>
      </c>
      <c r="F283" s="172" t="s">
        <v>549</v>
      </c>
      <c r="G283" s="172" t="s">
        <v>281</v>
      </c>
      <c r="H283" s="172" t="s">
        <v>550</v>
      </c>
      <c r="I283" s="172" t="s">
        <v>551</v>
      </c>
      <c r="J283" s="172" t="s">
        <v>552</v>
      </c>
      <c r="K283" s="172" t="s">
        <v>582</v>
      </c>
      <c r="L283" s="172" t="s">
        <v>157</v>
      </c>
      <c r="M283" s="173">
        <v>1</v>
      </c>
      <c r="N283" s="173" t="s">
        <v>286</v>
      </c>
    </row>
    <row r="284" spans="1:14" s="174" customFormat="1" ht="55.5" customHeight="1">
      <c r="A284" s="171">
        <v>150</v>
      </c>
      <c r="B284" s="171" t="s">
        <v>278</v>
      </c>
      <c r="C284" s="171">
        <v>4500110453</v>
      </c>
      <c r="D284" s="171">
        <v>7707031531</v>
      </c>
      <c r="E284" s="172" t="s">
        <v>279</v>
      </c>
      <c r="F284" s="172" t="s">
        <v>549</v>
      </c>
      <c r="G284" s="172" t="s">
        <v>281</v>
      </c>
      <c r="H284" s="172" t="s">
        <v>550</v>
      </c>
      <c r="I284" s="172" t="s">
        <v>551</v>
      </c>
      <c r="J284" s="172" t="s">
        <v>552</v>
      </c>
      <c r="K284" s="172" t="s">
        <v>583</v>
      </c>
      <c r="L284" s="172" t="s">
        <v>157</v>
      </c>
      <c r="M284" s="173">
        <v>1</v>
      </c>
      <c r="N284" s="173" t="str">
        <f>_xlfn.XLOOKUP(K284,'[1]From CDC site verification P1 '!D:D,'[1]From CDC site verification P1 '!E:E,0,0)</f>
        <v>13-4034-BV-0089</v>
      </c>
    </row>
    <row r="285" spans="1:14" s="174" customFormat="1" ht="55.5" customHeight="1">
      <c r="A285" s="171">
        <v>150</v>
      </c>
      <c r="B285" s="171" t="s">
        <v>278</v>
      </c>
      <c r="C285" s="171">
        <v>4500110453</v>
      </c>
      <c r="D285" s="171">
        <v>7707031531</v>
      </c>
      <c r="E285" s="172" t="s">
        <v>279</v>
      </c>
      <c r="F285" s="172" t="s">
        <v>549</v>
      </c>
      <c r="G285" s="172" t="s">
        <v>281</v>
      </c>
      <c r="H285" s="172" t="s">
        <v>550</v>
      </c>
      <c r="I285" s="172" t="s">
        <v>551</v>
      </c>
      <c r="J285" s="172" t="s">
        <v>552</v>
      </c>
      <c r="K285" s="172" t="s">
        <v>584</v>
      </c>
      <c r="L285" s="172" t="s">
        <v>157</v>
      </c>
      <c r="M285" s="173">
        <v>1</v>
      </c>
      <c r="N285" s="173" t="s">
        <v>286</v>
      </c>
    </row>
    <row r="286" spans="1:14" s="174" customFormat="1" ht="55.5" customHeight="1">
      <c r="A286" s="171">
        <v>150</v>
      </c>
      <c r="B286" s="171" t="s">
        <v>278</v>
      </c>
      <c r="C286" s="171">
        <v>4500110453</v>
      </c>
      <c r="D286" s="171">
        <v>7707031531</v>
      </c>
      <c r="E286" s="172" t="s">
        <v>279</v>
      </c>
      <c r="F286" s="172" t="s">
        <v>549</v>
      </c>
      <c r="G286" s="172" t="s">
        <v>281</v>
      </c>
      <c r="H286" s="172" t="s">
        <v>550</v>
      </c>
      <c r="I286" s="172" t="s">
        <v>551</v>
      </c>
      <c r="J286" s="172" t="s">
        <v>552</v>
      </c>
      <c r="K286" s="172" t="s">
        <v>585</v>
      </c>
      <c r="L286" s="172" t="s">
        <v>157</v>
      </c>
      <c r="M286" s="173">
        <v>1</v>
      </c>
      <c r="N286" s="173" t="s">
        <v>286</v>
      </c>
    </row>
    <row r="287" spans="1:14" s="174" customFormat="1" ht="55.5" customHeight="1">
      <c r="A287" s="171">
        <v>150</v>
      </c>
      <c r="B287" s="171" t="s">
        <v>278</v>
      </c>
      <c r="C287" s="171">
        <v>4500110453</v>
      </c>
      <c r="D287" s="171">
        <v>7707031531</v>
      </c>
      <c r="E287" s="172" t="s">
        <v>279</v>
      </c>
      <c r="F287" s="172" t="s">
        <v>549</v>
      </c>
      <c r="G287" s="172" t="s">
        <v>281</v>
      </c>
      <c r="H287" s="172" t="s">
        <v>550</v>
      </c>
      <c r="I287" s="172" t="s">
        <v>551</v>
      </c>
      <c r="J287" s="172" t="s">
        <v>552</v>
      </c>
      <c r="K287" s="172" t="s">
        <v>586</v>
      </c>
      <c r="L287" s="172" t="s">
        <v>157</v>
      </c>
      <c r="M287" s="173">
        <v>1</v>
      </c>
      <c r="N287" s="173" t="s">
        <v>286</v>
      </c>
    </row>
    <row r="288" spans="1:14" s="174" customFormat="1" ht="55.5" customHeight="1">
      <c r="A288" s="171">
        <v>150</v>
      </c>
      <c r="B288" s="171" t="s">
        <v>278</v>
      </c>
      <c r="C288" s="171">
        <v>4500110453</v>
      </c>
      <c r="D288" s="171">
        <v>7707031531</v>
      </c>
      <c r="E288" s="172" t="s">
        <v>279</v>
      </c>
      <c r="F288" s="172" t="s">
        <v>549</v>
      </c>
      <c r="G288" s="172" t="s">
        <v>281</v>
      </c>
      <c r="H288" s="172" t="s">
        <v>550</v>
      </c>
      <c r="I288" s="172" t="s">
        <v>551</v>
      </c>
      <c r="J288" s="172" t="s">
        <v>552</v>
      </c>
      <c r="K288" s="172" t="s">
        <v>587</v>
      </c>
      <c r="L288" s="172" t="s">
        <v>157</v>
      </c>
      <c r="M288" s="173">
        <v>1</v>
      </c>
      <c r="N288" s="173" t="s">
        <v>286</v>
      </c>
    </row>
    <row r="289" spans="1:14" s="174" customFormat="1" ht="55.5" customHeight="1">
      <c r="A289" s="171">
        <v>150</v>
      </c>
      <c r="B289" s="171" t="s">
        <v>278</v>
      </c>
      <c r="C289" s="171">
        <v>4500110453</v>
      </c>
      <c r="D289" s="171">
        <v>7707031531</v>
      </c>
      <c r="E289" s="172" t="s">
        <v>279</v>
      </c>
      <c r="F289" s="172" t="s">
        <v>549</v>
      </c>
      <c r="G289" s="172" t="s">
        <v>281</v>
      </c>
      <c r="H289" s="172" t="s">
        <v>550</v>
      </c>
      <c r="I289" s="172" t="s">
        <v>551</v>
      </c>
      <c r="J289" s="172" t="s">
        <v>552</v>
      </c>
      <c r="K289" s="172" t="s">
        <v>588</v>
      </c>
      <c r="L289" s="172" t="s">
        <v>157</v>
      </c>
      <c r="M289" s="173">
        <v>1</v>
      </c>
      <c r="N289" s="173" t="s">
        <v>286</v>
      </c>
    </row>
    <row r="290" spans="1:14" s="174" customFormat="1" ht="55.5" customHeight="1">
      <c r="A290" s="171">
        <v>150</v>
      </c>
      <c r="B290" s="171" t="s">
        <v>278</v>
      </c>
      <c r="C290" s="171">
        <v>4500110453</v>
      </c>
      <c r="D290" s="171">
        <v>7707031531</v>
      </c>
      <c r="E290" s="172" t="s">
        <v>279</v>
      </c>
      <c r="F290" s="172" t="s">
        <v>549</v>
      </c>
      <c r="G290" s="172" t="s">
        <v>281</v>
      </c>
      <c r="H290" s="172" t="s">
        <v>550</v>
      </c>
      <c r="I290" s="172" t="s">
        <v>551</v>
      </c>
      <c r="J290" s="172" t="s">
        <v>552</v>
      </c>
      <c r="K290" s="172" t="s">
        <v>589</v>
      </c>
      <c r="L290" s="172" t="s">
        <v>157</v>
      </c>
      <c r="M290" s="173">
        <v>1</v>
      </c>
      <c r="N290" s="173" t="str">
        <f>_xlfn.XLOOKUP(K290,'[1]From CDC site verification P1 '!D:D,'[1]From CDC site verification P1 '!E:E,0,0)</f>
        <v>13-4034-BV-0187</v>
      </c>
    </row>
    <row r="291" spans="1:14" s="174" customFormat="1" ht="55.5" customHeight="1">
      <c r="A291" s="171">
        <v>150</v>
      </c>
      <c r="B291" s="171" t="s">
        <v>278</v>
      </c>
      <c r="C291" s="171">
        <v>4500110453</v>
      </c>
      <c r="D291" s="171">
        <v>7707031531</v>
      </c>
      <c r="E291" s="172" t="s">
        <v>279</v>
      </c>
      <c r="F291" s="172" t="s">
        <v>549</v>
      </c>
      <c r="G291" s="172" t="s">
        <v>281</v>
      </c>
      <c r="H291" s="172" t="s">
        <v>550</v>
      </c>
      <c r="I291" s="172" t="s">
        <v>551</v>
      </c>
      <c r="J291" s="172" t="s">
        <v>552</v>
      </c>
      <c r="K291" s="172" t="s">
        <v>590</v>
      </c>
      <c r="L291" s="172" t="s">
        <v>157</v>
      </c>
      <c r="M291" s="173">
        <v>1</v>
      </c>
      <c r="N291" s="173" t="s">
        <v>286</v>
      </c>
    </row>
    <row r="292" spans="1:14" s="174" customFormat="1" ht="55.5" customHeight="1">
      <c r="A292" s="171">
        <v>150</v>
      </c>
      <c r="B292" s="171" t="s">
        <v>278</v>
      </c>
      <c r="C292" s="171">
        <v>4500110453</v>
      </c>
      <c r="D292" s="171">
        <v>7707031531</v>
      </c>
      <c r="E292" s="172" t="s">
        <v>279</v>
      </c>
      <c r="F292" s="172" t="s">
        <v>549</v>
      </c>
      <c r="G292" s="172" t="s">
        <v>281</v>
      </c>
      <c r="H292" s="172" t="s">
        <v>550</v>
      </c>
      <c r="I292" s="172" t="s">
        <v>551</v>
      </c>
      <c r="J292" s="172" t="s">
        <v>552</v>
      </c>
      <c r="K292" s="172" t="s">
        <v>591</v>
      </c>
      <c r="L292" s="172" t="s">
        <v>157</v>
      </c>
      <c r="M292" s="173">
        <v>1</v>
      </c>
      <c r="N292" s="173" t="s">
        <v>286</v>
      </c>
    </row>
    <row r="293" spans="1:14" s="174" customFormat="1" ht="55.5" customHeight="1">
      <c r="A293" s="171">
        <v>150</v>
      </c>
      <c r="B293" s="171" t="s">
        <v>278</v>
      </c>
      <c r="C293" s="171">
        <v>4500110453</v>
      </c>
      <c r="D293" s="171">
        <v>7707031531</v>
      </c>
      <c r="E293" s="172" t="s">
        <v>279</v>
      </c>
      <c r="F293" s="172" t="s">
        <v>549</v>
      </c>
      <c r="G293" s="172" t="s">
        <v>281</v>
      </c>
      <c r="H293" s="172" t="s">
        <v>550</v>
      </c>
      <c r="I293" s="172" t="s">
        <v>551</v>
      </c>
      <c r="J293" s="172" t="s">
        <v>552</v>
      </c>
      <c r="K293" s="172" t="s">
        <v>592</v>
      </c>
      <c r="L293" s="172" t="s">
        <v>157</v>
      </c>
      <c r="M293" s="173">
        <v>1</v>
      </c>
      <c r="N293" s="173" t="s">
        <v>286</v>
      </c>
    </row>
    <row r="294" spans="1:14" s="174" customFormat="1" ht="55.5" customHeight="1">
      <c r="A294" s="171">
        <v>150</v>
      </c>
      <c r="B294" s="171" t="s">
        <v>278</v>
      </c>
      <c r="C294" s="171">
        <v>4500110453</v>
      </c>
      <c r="D294" s="171">
        <v>7707031531</v>
      </c>
      <c r="E294" s="172" t="s">
        <v>279</v>
      </c>
      <c r="F294" s="172" t="s">
        <v>549</v>
      </c>
      <c r="G294" s="172" t="s">
        <v>281</v>
      </c>
      <c r="H294" s="172" t="s">
        <v>550</v>
      </c>
      <c r="I294" s="172" t="s">
        <v>551</v>
      </c>
      <c r="J294" s="172" t="s">
        <v>552</v>
      </c>
      <c r="K294" s="172" t="s">
        <v>593</v>
      </c>
      <c r="L294" s="172" t="s">
        <v>157</v>
      </c>
      <c r="M294" s="173">
        <v>1</v>
      </c>
      <c r="N294" s="173" t="str">
        <f>_xlfn.XLOOKUP(K294,'[1]From CDC site verification P1 '!D:D,'[1]From CDC site verification P1 '!E:E,0,0)</f>
        <v>13-4034-BV-0182</v>
      </c>
    </row>
    <row r="295" spans="1:14" s="174" customFormat="1" ht="55.5" customHeight="1">
      <c r="A295" s="171">
        <v>150</v>
      </c>
      <c r="B295" s="171" t="s">
        <v>278</v>
      </c>
      <c r="C295" s="171">
        <v>4500110453</v>
      </c>
      <c r="D295" s="171">
        <v>7707031531</v>
      </c>
      <c r="E295" s="172" t="s">
        <v>279</v>
      </c>
      <c r="F295" s="172" t="s">
        <v>549</v>
      </c>
      <c r="G295" s="172" t="s">
        <v>281</v>
      </c>
      <c r="H295" s="172" t="s">
        <v>550</v>
      </c>
      <c r="I295" s="172" t="s">
        <v>551</v>
      </c>
      <c r="J295" s="172" t="s">
        <v>552</v>
      </c>
      <c r="K295" s="172" t="s">
        <v>594</v>
      </c>
      <c r="L295" s="172" t="s">
        <v>157</v>
      </c>
      <c r="M295" s="173">
        <v>1</v>
      </c>
      <c r="N295" s="173" t="str">
        <f>_xlfn.XLOOKUP(K295,'[1]From CDC site verification P1 '!D:D,'[1]From CDC site verification P1 '!E:E,0,0)</f>
        <v>13-4034-BV-0094</v>
      </c>
    </row>
    <row r="296" spans="1:14" s="174" customFormat="1" ht="55.5" customHeight="1">
      <c r="A296" s="171">
        <v>150</v>
      </c>
      <c r="B296" s="171" t="s">
        <v>278</v>
      </c>
      <c r="C296" s="171">
        <v>4500110453</v>
      </c>
      <c r="D296" s="171">
        <v>7707031531</v>
      </c>
      <c r="E296" s="172" t="s">
        <v>279</v>
      </c>
      <c r="F296" s="172" t="s">
        <v>549</v>
      </c>
      <c r="G296" s="172" t="s">
        <v>281</v>
      </c>
      <c r="H296" s="172" t="s">
        <v>550</v>
      </c>
      <c r="I296" s="172" t="s">
        <v>551</v>
      </c>
      <c r="J296" s="172" t="s">
        <v>552</v>
      </c>
      <c r="K296" s="172" t="s">
        <v>595</v>
      </c>
      <c r="L296" s="172" t="s">
        <v>157</v>
      </c>
      <c r="M296" s="173">
        <v>1</v>
      </c>
      <c r="N296" s="173" t="s">
        <v>286</v>
      </c>
    </row>
    <row r="297" spans="1:14" s="174" customFormat="1" ht="55.5" customHeight="1">
      <c r="A297" s="171">
        <v>150</v>
      </c>
      <c r="B297" s="171" t="s">
        <v>278</v>
      </c>
      <c r="C297" s="171">
        <v>4500110453</v>
      </c>
      <c r="D297" s="171">
        <v>7707031531</v>
      </c>
      <c r="E297" s="172" t="s">
        <v>279</v>
      </c>
      <c r="F297" s="172" t="s">
        <v>549</v>
      </c>
      <c r="G297" s="172" t="s">
        <v>281</v>
      </c>
      <c r="H297" s="172" t="s">
        <v>550</v>
      </c>
      <c r="I297" s="172" t="s">
        <v>551</v>
      </c>
      <c r="J297" s="172" t="s">
        <v>552</v>
      </c>
      <c r="K297" s="172" t="s">
        <v>596</v>
      </c>
      <c r="L297" s="172" t="s">
        <v>157</v>
      </c>
      <c r="M297" s="173">
        <v>1</v>
      </c>
      <c r="N297" s="173" t="s">
        <v>286</v>
      </c>
    </row>
    <row r="298" spans="1:14" s="174" customFormat="1" ht="55.5" customHeight="1">
      <c r="A298" s="171">
        <v>150</v>
      </c>
      <c r="B298" s="171" t="s">
        <v>278</v>
      </c>
      <c r="C298" s="171">
        <v>4500110453</v>
      </c>
      <c r="D298" s="171">
        <v>7707031531</v>
      </c>
      <c r="E298" s="172" t="s">
        <v>279</v>
      </c>
      <c r="F298" s="172" t="s">
        <v>549</v>
      </c>
      <c r="G298" s="172" t="s">
        <v>281</v>
      </c>
      <c r="H298" s="172" t="s">
        <v>550</v>
      </c>
      <c r="I298" s="172" t="s">
        <v>551</v>
      </c>
      <c r="J298" s="172" t="s">
        <v>552</v>
      </c>
      <c r="K298" s="172" t="s">
        <v>597</v>
      </c>
      <c r="L298" s="172" t="s">
        <v>157</v>
      </c>
      <c r="M298" s="173">
        <v>1</v>
      </c>
      <c r="N298" s="173" t="str">
        <f>_xlfn.XLOOKUP(K298,'[1]From CDC site verification P1 '!D:D,'[1]From CDC site verification P1 '!E:E,0,0)</f>
        <v>13-4034-BV-0184</v>
      </c>
    </row>
    <row r="299" spans="1:14" s="174" customFormat="1" ht="55.5" customHeight="1">
      <c r="A299" s="171">
        <v>150</v>
      </c>
      <c r="B299" s="171" t="s">
        <v>278</v>
      </c>
      <c r="C299" s="171">
        <v>4500110453</v>
      </c>
      <c r="D299" s="171">
        <v>7707031531</v>
      </c>
      <c r="E299" s="172" t="s">
        <v>279</v>
      </c>
      <c r="F299" s="172" t="s">
        <v>549</v>
      </c>
      <c r="G299" s="172" t="s">
        <v>281</v>
      </c>
      <c r="H299" s="172" t="s">
        <v>550</v>
      </c>
      <c r="I299" s="172" t="s">
        <v>551</v>
      </c>
      <c r="J299" s="172" t="s">
        <v>552</v>
      </c>
      <c r="K299" s="172" t="s">
        <v>598</v>
      </c>
      <c r="L299" s="172" t="s">
        <v>157</v>
      </c>
      <c r="M299" s="173">
        <v>1</v>
      </c>
      <c r="N299" s="173" t="s">
        <v>286</v>
      </c>
    </row>
    <row r="300" spans="1:14" s="174" customFormat="1" ht="55.5" customHeight="1">
      <c r="A300" s="171">
        <v>150</v>
      </c>
      <c r="B300" s="171" t="s">
        <v>278</v>
      </c>
      <c r="C300" s="171">
        <v>4500110453</v>
      </c>
      <c r="D300" s="171">
        <v>7707031531</v>
      </c>
      <c r="E300" s="172" t="s">
        <v>279</v>
      </c>
      <c r="F300" s="172" t="s">
        <v>549</v>
      </c>
      <c r="G300" s="172" t="s">
        <v>281</v>
      </c>
      <c r="H300" s="172" t="s">
        <v>550</v>
      </c>
      <c r="I300" s="172" t="s">
        <v>551</v>
      </c>
      <c r="J300" s="172" t="s">
        <v>552</v>
      </c>
      <c r="K300" s="172" t="s">
        <v>599</v>
      </c>
      <c r="L300" s="172" t="s">
        <v>157</v>
      </c>
      <c r="M300" s="173">
        <v>1</v>
      </c>
      <c r="N300" s="173" t="s">
        <v>286</v>
      </c>
    </row>
    <row r="301" spans="1:14" s="174" customFormat="1" ht="55.5" customHeight="1">
      <c r="A301" s="171">
        <v>150</v>
      </c>
      <c r="B301" s="171" t="s">
        <v>278</v>
      </c>
      <c r="C301" s="171">
        <v>4500110453</v>
      </c>
      <c r="D301" s="171">
        <v>7707031531</v>
      </c>
      <c r="E301" s="172" t="s">
        <v>279</v>
      </c>
      <c r="F301" s="172" t="s">
        <v>549</v>
      </c>
      <c r="G301" s="172" t="s">
        <v>281</v>
      </c>
      <c r="H301" s="172" t="s">
        <v>550</v>
      </c>
      <c r="I301" s="172" t="s">
        <v>551</v>
      </c>
      <c r="J301" s="172" t="s">
        <v>552</v>
      </c>
      <c r="K301" s="172" t="s">
        <v>600</v>
      </c>
      <c r="L301" s="172" t="s">
        <v>157</v>
      </c>
      <c r="M301" s="173">
        <v>1</v>
      </c>
      <c r="N301" s="173" t="s">
        <v>286</v>
      </c>
    </row>
    <row r="302" spans="1:14" s="174" customFormat="1" ht="55.5" customHeight="1">
      <c r="A302" s="171">
        <v>150</v>
      </c>
      <c r="B302" s="171" t="s">
        <v>278</v>
      </c>
      <c r="C302" s="171">
        <v>4500110453</v>
      </c>
      <c r="D302" s="171">
        <v>7707031531</v>
      </c>
      <c r="E302" s="172" t="s">
        <v>279</v>
      </c>
      <c r="F302" s="172" t="s">
        <v>549</v>
      </c>
      <c r="G302" s="172" t="s">
        <v>281</v>
      </c>
      <c r="H302" s="172" t="s">
        <v>550</v>
      </c>
      <c r="I302" s="172" t="s">
        <v>551</v>
      </c>
      <c r="J302" s="172" t="s">
        <v>552</v>
      </c>
      <c r="K302" s="172" t="s">
        <v>601</v>
      </c>
      <c r="L302" s="172" t="s">
        <v>157</v>
      </c>
      <c r="M302" s="173">
        <v>1</v>
      </c>
      <c r="N302" s="173" t="s">
        <v>286</v>
      </c>
    </row>
    <row r="303" spans="1:14" s="174" customFormat="1" ht="55.5" customHeight="1">
      <c r="A303" s="171">
        <v>150</v>
      </c>
      <c r="B303" s="171" t="s">
        <v>278</v>
      </c>
      <c r="C303" s="171">
        <v>4500110453</v>
      </c>
      <c r="D303" s="171">
        <v>7707031531</v>
      </c>
      <c r="E303" s="172" t="s">
        <v>279</v>
      </c>
      <c r="F303" s="172" t="s">
        <v>549</v>
      </c>
      <c r="G303" s="172" t="s">
        <v>281</v>
      </c>
      <c r="H303" s="172" t="s">
        <v>550</v>
      </c>
      <c r="I303" s="172" t="s">
        <v>551</v>
      </c>
      <c r="J303" s="172" t="s">
        <v>552</v>
      </c>
      <c r="K303" s="172" t="s">
        <v>602</v>
      </c>
      <c r="L303" s="172" t="s">
        <v>157</v>
      </c>
      <c r="M303" s="173">
        <v>1</v>
      </c>
      <c r="N303" s="173" t="s">
        <v>286</v>
      </c>
    </row>
    <row r="304" spans="1:14" s="174" customFormat="1" ht="55.5" customHeight="1">
      <c r="A304" s="171">
        <v>150</v>
      </c>
      <c r="B304" s="171" t="s">
        <v>278</v>
      </c>
      <c r="C304" s="171">
        <v>4500110453</v>
      </c>
      <c r="D304" s="171">
        <v>7707031531</v>
      </c>
      <c r="E304" s="172" t="s">
        <v>279</v>
      </c>
      <c r="F304" s="172" t="s">
        <v>549</v>
      </c>
      <c r="G304" s="172" t="s">
        <v>281</v>
      </c>
      <c r="H304" s="172" t="s">
        <v>550</v>
      </c>
      <c r="I304" s="172" t="s">
        <v>551</v>
      </c>
      <c r="J304" s="172" t="s">
        <v>552</v>
      </c>
      <c r="K304" s="172" t="s">
        <v>603</v>
      </c>
      <c r="L304" s="172" t="s">
        <v>157</v>
      </c>
      <c r="M304" s="173">
        <v>1</v>
      </c>
      <c r="N304" s="173" t="s">
        <v>286</v>
      </c>
    </row>
    <row r="305" spans="1:14" s="174" customFormat="1" ht="55.5" customHeight="1">
      <c r="A305" s="171">
        <v>150</v>
      </c>
      <c r="B305" s="171" t="s">
        <v>278</v>
      </c>
      <c r="C305" s="171">
        <v>4500110453</v>
      </c>
      <c r="D305" s="171">
        <v>7707031531</v>
      </c>
      <c r="E305" s="172" t="s">
        <v>279</v>
      </c>
      <c r="F305" s="172" t="s">
        <v>549</v>
      </c>
      <c r="G305" s="172" t="s">
        <v>281</v>
      </c>
      <c r="H305" s="172" t="s">
        <v>550</v>
      </c>
      <c r="I305" s="172" t="s">
        <v>551</v>
      </c>
      <c r="J305" s="172" t="s">
        <v>552</v>
      </c>
      <c r="K305" s="172" t="s">
        <v>604</v>
      </c>
      <c r="L305" s="172" t="s">
        <v>157</v>
      </c>
      <c r="M305" s="173">
        <v>1</v>
      </c>
      <c r="N305" s="173" t="str">
        <f>_xlfn.XLOOKUP(K305,'[1]From CDC site verification P1 '!D:D,'[1]From CDC site verification P1 '!E:E,0,0)</f>
        <v>13-4034-BV-0190</v>
      </c>
    </row>
    <row r="306" spans="1:14" s="174" customFormat="1" ht="55.5" customHeight="1">
      <c r="A306" s="171">
        <v>150</v>
      </c>
      <c r="B306" s="171" t="s">
        <v>278</v>
      </c>
      <c r="C306" s="171">
        <v>4500110453</v>
      </c>
      <c r="D306" s="171">
        <v>7707031531</v>
      </c>
      <c r="E306" s="172" t="s">
        <v>279</v>
      </c>
      <c r="F306" s="172" t="s">
        <v>549</v>
      </c>
      <c r="G306" s="172" t="s">
        <v>281</v>
      </c>
      <c r="H306" s="172" t="s">
        <v>550</v>
      </c>
      <c r="I306" s="172" t="s">
        <v>551</v>
      </c>
      <c r="J306" s="172" t="s">
        <v>552</v>
      </c>
      <c r="K306" s="172" t="s">
        <v>605</v>
      </c>
      <c r="L306" s="172" t="s">
        <v>157</v>
      </c>
      <c r="M306" s="173">
        <v>1</v>
      </c>
      <c r="N306" s="173" t="s">
        <v>286</v>
      </c>
    </row>
    <row r="307" spans="1:14" s="174" customFormat="1" ht="55.5" customHeight="1">
      <c r="A307" s="171">
        <v>150</v>
      </c>
      <c r="B307" s="171" t="s">
        <v>278</v>
      </c>
      <c r="C307" s="171">
        <v>4500110453</v>
      </c>
      <c r="D307" s="171">
        <v>7707031531</v>
      </c>
      <c r="E307" s="172" t="s">
        <v>279</v>
      </c>
      <c r="F307" s="172" t="s">
        <v>549</v>
      </c>
      <c r="G307" s="172" t="s">
        <v>281</v>
      </c>
      <c r="H307" s="172" t="s">
        <v>550</v>
      </c>
      <c r="I307" s="172" t="s">
        <v>551</v>
      </c>
      <c r="J307" s="172" t="s">
        <v>552</v>
      </c>
      <c r="K307" s="172" t="s">
        <v>606</v>
      </c>
      <c r="L307" s="172" t="s">
        <v>157</v>
      </c>
      <c r="M307" s="173">
        <v>1</v>
      </c>
      <c r="N307" s="173" t="s">
        <v>286</v>
      </c>
    </row>
    <row r="308" spans="1:14" s="174" customFormat="1" ht="55.5" customHeight="1">
      <c r="A308" s="171">
        <v>150</v>
      </c>
      <c r="B308" s="171" t="s">
        <v>278</v>
      </c>
      <c r="C308" s="171">
        <v>4500110453</v>
      </c>
      <c r="D308" s="171">
        <v>7707031531</v>
      </c>
      <c r="E308" s="172" t="s">
        <v>279</v>
      </c>
      <c r="F308" s="172" t="s">
        <v>549</v>
      </c>
      <c r="G308" s="172" t="s">
        <v>281</v>
      </c>
      <c r="H308" s="172" t="s">
        <v>550</v>
      </c>
      <c r="I308" s="172" t="s">
        <v>551</v>
      </c>
      <c r="J308" s="172" t="s">
        <v>552</v>
      </c>
      <c r="K308" s="172" t="s">
        <v>607</v>
      </c>
      <c r="L308" s="172" t="s">
        <v>157</v>
      </c>
      <c r="M308" s="173">
        <v>1</v>
      </c>
      <c r="N308" s="173" t="str">
        <f>_xlfn.XLOOKUP(K308,'[1]From CDC site verification P1 '!D:D,'[1]From CDC site verification P1 '!E:E,0,0)</f>
        <v>13-4034-BV-0096</v>
      </c>
    </row>
    <row r="309" spans="1:14" s="174" customFormat="1" ht="55.5" customHeight="1">
      <c r="A309" s="171">
        <v>150</v>
      </c>
      <c r="B309" s="171" t="s">
        <v>278</v>
      </c>
      <c r="C309" s="171">
        <v>4500110453</v>
      </c>
      <c r="D309" s="171">
        <v>7707031531</v>
      </c>
      <c r="E309" s="172" t="s">
        <v>279</v>
      </c>
      <c r="F309" s="172" t="s">
        <v>549</v>
      </c>
      <c r="G309" s="172" t="s">
        <v>281</v>
      </c>
      <c r="H309" s="172" t="s">
        <v>550</v>
      </c>
      <c r="I309" s="172" t="s">
        <v>551</v>
      </c>
      <c r="J309" s="172" t="s">
        <v>552</v>
      </c>
      <c r="K309" s="172" t="s">
        <v>608</v>
      </c>
      <c r="L309" s="172" t="s">
        <v>157</v>
      </c>
      <c r="M309" s="173">
        <v>1</v>
      </c>
      <c r="N309" s="173" t="str">
        <f>_xlfn.XLOOKUP(K309,'[1]From CDC site verification P1 '!D:D,'[1]From CDC site verification P1 '!E:E,0,0)</f>
        <v>13-4034-BV-0087</v>
      </c>
    </row>
    <row r="310" spans="1:14" s="174" customFormat="1" ht="55.5" customHeight="1">
      <c r="A310" s="171">
        <v>150</v>
      </c>
      <c r="B310" s="171" t="s">
        <v>278</v>
      </c>
      <c r="C310" s="171">
        <v>4500110453</v>
      </c>
      <c r="D310" s="171">
        <v>7707031531</v>
      </c>
      <c r="E310" s="172" t="s">
        <v>279</v>
      </c>
      <c r="F310" s="172" t="s">
        <v>549</v>
      </c>
      <c r="G310" s="172" t="s">
        <v>281</v>
      </c>
      <c r="H310" s="172" t="s">
        <v>550</v>
      </c>
      <c r="I310" s="172" t="s">
        <v>551</v>
      </c>
      <c r="J310" s="172" t="s">
        <v>552</v>
      </c>
      <c r="K310" s="172" t="s">
        <v>609</v>
      </c>
      <c r="L310" s="172" t="s">
        <v>157</v>
      </c>
      <c r="M310" s="173">
        <v>1</v>
      </c>
      <c r="N310" s="173" t="s">
        <v>286</v>
      </c>
    </row>
    <row r="311" spans="1:14" s="174" customFormat="1" ht="55.5" customHeight="1">
      <c r="A311" s="171">
        <v>150</v>
      </c>
      <c r="B311" s="171" t="s">
        <v>278</v>
      </c>
      <c r="C311" s="171">
        <v>4500110453</v>
      </c>
      <c r="D311" s="171">
        <v>7707031531</v>
      </c>
      <c r="E311" s="172" t="s">
        <v>279</v>
      </c>
      <c r="F311" s="172" t="s">
        <v>549</v>
      </c>
      <c r="G311" s="172" t="s">
        <v>281</v>
      </c>
      <c r="H311" s="172" t="s">
        <v>550</v>
      </c>
      <c r="I311" s="172" t="s">
        <v>551</v>
      </c>
      <c r="J311" s="172" t="s">
        <v>552</v>
      </c>
      <c r="K311" s="172" t="s">
        <v>610</v>
      </c>
      <c r="L311" s="172" t="s">
        <v>157</v>
      </c>
      <c r="M311" s="173">
        <v>1</v>
      </c>
      <c r="N311" s="173" t="str">
        <f>_xlfn.XLOOKUP(K311,'[1]From CDC site verification P1 '!D:D,'[1]From CDC site verification P1 '!E:E,0,0)</f>
        <v>13-4034-BV-0088</v>
      </c>
    </row>
    <row r="312" spans="1:14" s="174" customFormat="1" ht="55.5" customHeight="1">
      <c r="A312" s="171">
        <v>150</v>
      </c>
      <c r="B312" s="171" t="s">
        <v>278</v>
      </c>
      <c r="C312" s="171">
        <v>4500110453</v>
      </c>
      <c r="D312" s="171">
        <v>7707031531</v>
      </c>
      <c r="E312" s="172" t="s">
        <v>279</v>
      </c>
      <c r="F312" s="172" t="s">
        <v>549</v>
      </c>
      <c r="G312" s="172" t="s">
        <v>281</v>
      </c>
      <c r="H312" s="172" t="s">
        <v>550</v>
      </c>
      <c r="I312" s="172" t="s">
        <v>551</v>
      </c>
      <c r="J312" s="172" t="s">
        <v>552</v>
      </c>
      <c r="K312" s="172" t="s">
        <v>611</v>
      </c>
      <c r="L312" s="172" t="s">
        <v>157</v>
      </c>
      <c r="M312" s="173">
        <v>1</v>
      </c>
      <c r="N312" s="173" t="s">
        <v>286</v>
      </c>
    </row>
    <row r="313" spans="1:14" s="174" customFormat="1" ht="55.5" customHeight="1">
      <c r="A313" s="171">
        <v>150</v>
      </c>
      <c r="B313" s="171" t="s">
        <v>278</v>
      </c>
      <c r="C313" s="171">
        <v>4500110453</v>
      </c>
      <c r="D313" s="171">
        <v>7707031531</v>
      </c>
      <c r="E313" s="172" t="s">
        <v>279</v>
      </c>
      <c r="F313" s="172" t="s">
        <v>549</v>
      </c>
      <c r="G313" s="172" t="s">
        <v>281</v>
      </c>
      <c r="H313" s="172" t="s">
        <v>550</v>
      </c>
      <c r="I313" s="172" t="s">
        <v>551</v>
      </c>
      <c r="J313" s="172" t="s">
        <v>552</v>
      </c>
      <c r="K313" s="172" t="s">
        <v>612</v>
      </c>
      <c r="L313" s="172" t="s">
        <v>157</v>
      </c>
      <c r="M313" s="173">
        <v>1</v>
      </c>
      <c r="N313" s="173" t="str">
        <f>_xlfn.XLOOKUP(K313,'[1]From CDC site verification P1 '!D:D,'[1]From CDC site verification P1 '!E:E,0,0)</f>
        <v>13-4034-BV-0189</v>
      </c>
    </row>
    <row r="314" spans="1:14" s="174" customFormat="1" ht="55.5" customHeight="1">
      <c r="A314" s="171">
        <v>150</v>
      </c>
      <c r="B314" s="171" t="s">
        <v>278</v>
      </c>
      <c r="C314" s="171">
        <v>4500110453</v>
      </c>
      <c r="D314" s="171">
        <v>7707031531</v>
      </c>
      <c r="E314" s="172" t="s">
        <v>279</v>
      </c>
      <c r="F314" s="172" t="s">
        <v>549</v>
      </c>
      <c r="G314" s="172" t="s">
        <v>281</v>
      </c>
      <c r="H314" s="172" t="s">
        <v>550</v>
      </c>
      <c r="I314" s="172" t="s">
        <v>551</v>
      </c>
      <c r="J314" s="172" t="s">
        <v>552</v>
      </c>
      <c r="K314" s="172" t="s">
        <v>613</v>
      </c>
      <c r="L314" s="172" t="s">
        <v>157</v>
      </c>
      <c r="M314" s="173">
        <v>1</v>
      </c>
      <c r="N314" s="173" t="s">
        <v>286</v>
      </c>
    </row>
    <row r="315" spans="1:14" s="174" customFormat="1" ht="55.5" customHeight="1">
      <c r="A315" s="171">
        <v>150</v>
      </c>
      <c r="B315" s="171" t="s">
        <v>278</v>
      </c>
      <c r="C315" s="171">
        <v>4500110453</v>
      </c>
      <c r="D315" s="171">
        <v>7707031531</v>
      </c>
      <c r="E315" s="172" t="s">
        <v>279</v>
      </c>
      <c r="F315" s="172" t="s">
        <v>549</v>
      </c>
      <c r="G315" s="172" t="s">
        <v>281</v>
      </c>
      <c r="H315" s="172" t="s">
        <v>550</v>
      </c>
      <c r="I315" s="172" t="s">
        <v>551</v>
      </c>
      <c r="J315" s="172" t="s">
        <v>552</v>
      </c>
      <c r="K315" s="172" t="s">
        <v>614</v>
      </c>
      <c r="L315" s="172" t="s">
        <v>157</v>
      </c>
      <c r="M315" s="173">
        <v>1</v>
      </c>
      <c r="N315" s="173" t="s">
        <v>286</v>
      </c>
    </row>
    <row r="316" spans="1:14" s="174" customFormat="1" ht="55.5" customHeight="1">
      <c r="A316" s="171">
        <v>150</v>
      </c>
      <c r="B316" s="171" t="s">
        <v>278</v>
      </c>
      <c r="C316" s="171">
        <v>4500110453</v>
      </c>
      <c r="D316" s="171">
        <v>7707031531</v>
      </c>
      <c r="E316" s="172" t="s">
        <v>279</v>
      </c>
      <c r="F316" s="172" t="s">
        <v>549</v>
      </c>
      <c r="G316" s="172" t="s">
        <v>281</v>
      </c>
      <c r="H316" s="172" t="s">
        <v>550</v>
      </c>
      <c r="I316" s="172" t="s">
        <v>551</v>
      </c>
      <c r="J316" s="172" t="s">
        <v>552</v>
      </c>
      <c r="K316" s="172" t="s">
        <v>615</v>
      </c>
      <c r="L316" s="172" t="s">
        <v>157</v>
      </c>
      <c r="M316" s="173">
        <v>1</v>
      </c>
      <c r="N316" s="173" t="str">
        <f>_xlfn.XLOOKUP(K316,'[1]From CDC site verification P1 '!D:D,'[1]From CDC site verification P1 '!E:E,0,0)</f>
        <v>13-4034-BV-0085</v>
      </c>
    </row>
    <row r="317" spans="1:14" s="174" customFormat="1" ht="55.5" customHeight="1">
      <c r="A317" s="171">
        <v>150</v>
      </c>
      <c r="B317" s="171" t="s">
        <v>278</v>
      </c>
      <c r="C317" s="171">
        <v>4500110453</v>
      </c>
      <c r="D317" s="171">
        <v>7707031531</v>
      </c>
      <c r="E317" s="172" t="s">
        <v>279</v>
      </c>
      <c r="F317" s="172" t="s">
        <v>549</v>
      </c>
      <c r="G317" s="172" t="s">
        <v>281</v>
      </c>
      <c r="H317" s="172" t="s">
        <v>550</v>
      </c>
      <c r="I317" s="172" t="s">
        <v>551</v>
      </c>
      <c r="J317" s="172" t="s">
        <v>552</v>
      </c>
      <c r="K317" s="172" t="s">
        <v>616</v>
      </c>
      <c r="L317" s="172" t="s">
        <v>157</v>
      </c>
      <c r="M317" s="173">
        <v>1</v>
      </c>
      <c r="N317" s="173" t="s">
        <v>286</v>
      </c>
    </row>
    <row r="318" spans="1:14" s="174" customFormat="1" ht="55.5" customHeight="1">
      <c r="A318" s="171">
        <v>150</v>
      </c>
      <c r="B318" s="171" t="s">
        <v>278</v>
      </c>
      <c r="C318" s="171">
        <v>4500110453</v>
      </c>
      <c r="D318" s="171">
        <v>7707031531</v>
      </c>
      <c r="E318" s="172" t="s">
        <v>279</v>
      </c>
      <c r="F318" s="172" t="s">
        <v>549</v>
      </c>
      <c r="G318" s="172" t="s">
        <v>281</v>
      </c>
      <c r="H318" s="172" t="s">
        <v>550</v>
      </c>
      <c r="I318" s="172" t="s">
        <v>551</v>
      </c>
      <c r="J318" s="172" t="s">
        <v>552</v>
      </c>
      <c r="K318" s="172" t="s">
        <v>617</v>
      </c>
      <c r="L318" s="172" t="s">
        <v>157</v>
      </c>
      <c r="M318" s="173">
        <v>1</v>
      </c>
      <c r="N318" s="173" t="s">
        <v>286</v>
      </c>
    </row>
    <row r="319" spans="1:14" s="174" customFormat="1" ht="55.5" customHeight="1">
      <c r="A319" s="171">
        <v>150</v>
      </c>
      <c r="B319" s="171" t="s">
        <v>278</v>
      </c>
      <c r="C319" s="171">
        <v>4500110453</v>
      </c>
      <c r="D319" s="171">
        <v>7707031531</v>
      </c>
      <c r="E319" s="172" t="s">
        <v>279</v>
      </c>
      <c r="F319" s="172" t="s">
        <v>549</v>
      </c>
      <c r="G319" s="172" t="s">
        <v>281</v>
      </c>
      <c r="H319" s="172" t="s">
        <v>550</v>
      </c>
      <c r="I319" s="172" t="s">
        <v>551</v>
      </c>
      <c r="J319" s="172" t="s">
        <v>552</v>
      </c>
      <c r="K319" s="172" t="s">
        <v>618</v>
      </c>
      <c r="L319" s="172" t="s">
        <v>157</v>
      </c>
      <c r="M319" s="173">
        <v>1</v>
      </c>
      <c r="N319" s="173" t="s">
        <v>286</v>
      </c>
    </row>
    <row r="320" spans="1:14" s="174" customFormat="1" ht="55.5" customHeight="1">
      <c r="A320" s="171">
        <v>150</v>
      </c>
      <c r="B320" s="171" t="s">
        <v>278</v>
      </c>
      <c r="C320" s="171">
        <v>4500110453</v>
      </c>
      <c r="D320" s="171">
        <v>7707031531</v>
      </c>
      <c r="E320" s="172" t="s">
        <v>279</v>
      </c>
      <c r="F320" s="172" t="s">
        <v>549</v>
      </c>
      <c r="G320" s="172" t="s">
        <v>281</v>
      </c>
      <c r="H320" s="172" t="s">
        <v>550</v>
      </c>
      <c r="I320" s="172" t="s">
        <v>551</v>
      </c>
      <c r="J320" s="172" t="s">
        <v>552</v>
      </c>
      <c r="K320" s="172" t="s">
        <v>619</v>
      </c>
      <c r="L320" s="172" t="s">
        <v>157</v>
      </c>
      <c r="M320" s="173">
        <v>1</v>
      </c>
      <c r="N320" s="173" t="str">
        <f>_xlfn.XLOOKUP(K320,'[1]From CDC site verification P1 '!D:D,'[1]From CDC site verification P1 '!E:E,0,0)</f>
        <v>13-4034-BV-0192</v>
      </c>
    </row>
    <row r="321" spans="1:14" s="174" customFormat="1" ht="55.5" customHeight="1">
      <c r="A321" s="171">
        <v>150</v>
      </c>
      <c r="B321" s="171" t="s">
        <v>278</v>
      </c>
      <c r="C321" s="171">
        <v>4500110453</v>
      </c>
      <c r="D321" s="171">
        <v>7707031531</v>
      </c>
      <c r="E321" s="172" t="s">
        <v>279</v>
      </c>
      <c r="F321" s="172" t="s">
        <v>549</v>
      </c>
      <c r="G321" s="172" t="s">
        <v>281</v>
      </c>
      <c r="H321" s="172" t="s">
        <v>550</v>
      </c>
      <c r="I321" s="172" t="s">
        <v>551</v>
      </c>
      <c r="J321" s="172" t="s">
        <v>552</v>
      </c>
      <c r="K321" s="172" t="s">
        <v>620</v>
      </c>
      <c r="L321" s="172" t="s">
        <v>157</v>
      </c>
      <c r="M321" s="173">
        <v>1</v>
      </c>
      <c r="N321" s="173" t="s">
        <v>286</v>
      </c>
    </row>
    <row r="322" spans="1:14" s="174" customFormat="1" ht="55.5" customHeight="1">
      <c r="A322" s="171">
        <v>150</v>
      </c>
      <c r="B322" s="171" t="s">
        <v>278</v>
      </c>
      <c r="C322" s="171">
        <v>4500110453</v>
      </c>
      <c r="D322" s="171">
        <v>7707031531</v>
      </c>
      <c r="E322" s="172" t="s">
        <v>279</v>
      </c>
      <c r="F322" s="172" t="s">
        <v>549</v>
      </c>
      <c r="G322" s="172" t="s">
        <v>281</v>
      </c>
      <c r="H322" s="172" t="s">
        <v>550</v>
      </c>
      <c r="I322" s="172" t="s">
        <v>551</v>
      </c>
      <c r="J322" s="172" t="s">
        <v>552</v>
      </c>
      <c r="K322" s="172" t="s">
        <v>621</v>
      </c>
      <c r="L322" s="172" t="s">
        <v>157</v>
      </c>
      <c r="M322" s="173">
        <v>1</v>
      </c>
      <c r="N322" s="173" t="s">
        <v>286</v>
      </c>
    </row>
    <row r="323" spans="1:14" s="174" customFormat="1" ht="55.5" customHeight="1">
      <c r="A323" s="171">
        <v>150</v>
      </c>
      <c r="B323" s="171" t="s">
        <v>278</v>
      </c>
      <c r="C323" s="171">
        <v>4500110453</v>
      </c>
      <c r="D323" s="171">
        <v>7707031531</v>
      </c>
      <c r="E323" s="172" t="s">
        <v>279</v>
      </c>
      <c r="F323" s="172" t="s">
        <v>549</v>
      </c>
      <c r="G323" s="172" t="s">
        <v>281</v>
      </c>
      <c r="H323" s="172" t="s">
        <v>550</v>
      </c>
      <c r="I323" s="172" t="s">
        <v>551</v>
      </c>
      <c r="J323" s="172" t="s">
        <v>552</v>
      </c>
      <c r="K323" s="172" t="s">
        <v>622</v>
      </c>
      <c r="L323" s="172" t="s">
        <v>157</v>
      </c>
      <c r="M323" s="173">
        <v>1</v>
      </c>
      <c r="N323" s="173" t="s">
        <v>286</v>
      </c>
    </row>
    <row r="324" spans="1:14" s="174" customFormat="1" ht="55.5" customHeight="1">
      <c r="A324" s="171">
        <v>150</v>
      </c>
      <c r="B324" s="171" t="s">
        <v>278</v>
      </c>
      <c r="C324" s="171">
        <v>4500110453</v>
      </c>
      <c r="D324" s="171">
        <v>7707031531</v>
      </c>
      <c r="E324" s="172" t="s">
        <v>279</v>
      </c>
      <c r="F324" s="172" t="s">
        <v>549</v>
      </c>
      <c r="G324" s="172" t="s">
        <v>281</v>
      </c>
      <c r="H324" s="172" t="s">
        <v>550</v>
      </c>
      <c r="I324" s="172" t="s">
        <v>551</v>
      </c>
      <c r="J324" s="172" t="s">
        <v>552</v>
      </c>
      <c r="K324" s="172" t="s">
        <v>623</v>
      </c>
      <c r="L324" s="172" t="s">
        <v>157</v>
      </c>
      <c r="M324" s="173">
        <v>1</v>
      </c>
      <c r="N324" s="173" t="s">
        <v>286</v>
      </c>
    </row>
    <row r="325" spans="1:14" s="174" customFormat="1" ht="55.5" customHeight="1">
      <c r="A325" s="171">
        <v>150</v>
      </c>
      <c r="B325" s="171" t="s">
        <v>278</v>
      </c>
      <c r="C325" s="171">
        <v>4500110453</v>
      </c>
      <c r="D325" s="171">
        <v>7707031531</v>
      </c>
      <c r="E325" s="172" t="s">
        <v>279</v>
      </c>
      <c r="F325" s="172" t="s">
        <v>549</v>
      </c>
      <c r="G325" s="172" t="s">
        <v>281</v>
      </c>
      <c r="H325" s="172" t="s">
        <v>550</v>
      </c>
      <c r="I325" s="172" t="s">
        <v>551</v>
      </c>
      <c r="J325" s="172" t="s">
        <v>552</v>
      </c>
      <c r="K325" s="172" t="s">
        <v>624</v>
      </c>
      <c r="L325" s="172" t="s">
        <v>157</v>
      </c>
      <c r="M325" s="173">
        <v>1</v>
      </c>
      <c r="N325" s="173" t="s">
        <v>286</v>
      </c>
    </row>
    <row r="326" spans="1:14" s="174" customFormat="1" ht="55.5" customHeight="1">
      <c r="A326" s="171">
        <v>150</v>
      </c>
      <c r="B326" s="171" t="s">
        <v>278</v>
      </c>
      <c r="C326" s="171">
        <v>4500110453</v>
      </c>
      <c r="D326" s="171">
        <v>7707031531</v>
      </c>
      <c r="E326" s="172" t="s">
        <v>279</v>
      </c>
      <c r="F326" s="172" t="s">
        <v>549</v>
      </c>
      <c r="G326" s="172" t="s">
        <v>281</v>
      </c>
      <c r="H326" s="172" t="s">
        <v>550</v>
      </c>
      <c r="I326" s="172" t="s">
        <v>551</v>
      </c>
      <c r="J326" s="172" t="s">
        <v>552</v>
      </c>
      <c r="K326" s="172" t="s">
        <v>625</v>
      </c>
      <c r="L326" s="172" t="s">
        <v>157</v>
      </c>
      <c r="M326" s="173">
        <v>1</v>
      </c>
      <c r="N326" s="173" t="str">
        <f>_xlfn.XLOOKUP(K326,'[1]From CDC site verification P1 '!D:D,'[1]From CDC site verification P1 '!E:E,0,0)</f>
        <v>13-4034-BV-0090</v>
      </c>
    </row>
    <row r="327" spans="1:14" s="174" customFormat="1" ht="55.5" customHeight="1">
      <c r="A327" s="171">
        <v>150</v>
      </c>
      <c r="B327" s="171" t="s">
        <v>278</v>
      </c>
      <c r="C327" s="171">
        <v>4500110453</v>
      </c>
      <c r="D327" s="171">
        <v>7707031531</v>
      </c>
      <c r="E327" s="172" t="s">
        <v>279</v>
      </c>
      <c r="F327" s="172" t="s">
        <v>549</v>
      </c>
      <c r="G327" s="172" t="s">
        <v>281</v>
      </c>
      <c r="H327" s="172" t="s">
        <v>550</v>
      </c>
      <c r="I327" s="172" t="s">
        <v>551</v>
      </c>
      <c r="J327" s="172" t="s">
        <v>552</v>
      </c>
      <c r="K327" s="172" t="s">
        <v>626</v>
      </c>
      <c r="L327" s="172" t="s">
        <v>157</v>
      </c>
      <c r="M327" s="173">
        <v>1</v>
      </c>
      <c r="N327" s="173" t="s">
        <v>286</v>
      </c>
    </row>
    <row r="328" spans="1:14" s="174" customFormat="1" ht="55.5" customHeight="1">
      <c r="A328" s="171">
        <v>150</v>
      </c>
      <c r="B328" s="171" t="s">
        <v>278</v>
      </c>
      <c r="C328" s="171">
        <v>4500110453</v>
      </c>
      <c r="D328" s="171">
        <v>7707031531</v>
      </c>
      <c r="E328" s="172" t="s">
        <v>279</v>
      </c>
      <c r="F328" s="172" t="s">
        <v>549</v>
      </c>
      <c r="G328" s="172" t="s">
        <v>281</v>
      </c>
      <c r="H328" s="172" t="s">
        <v>550</v>
      </c>
      <c r="I328" s="172" t="s">
        <v>551</v>
      </c>
      <c r="J328" s="172" t="s">
        <v>552</v>
      </c>
      <c r="K328" s="172" t="s">
        <v>627</v>
      </c>
      <c r="L328" s="172" t="s">
        <v>157</v>
      </c>
      <c r="M328" s="173">
        <v>1</v>
      </c>
      <c r="N328" s="173" t="s">
        <v>286</v>
      </c>
    </row>
    <row r="329" spans="1:14" s="174" customFormat="1" ht="55.5" customHeight="1">
      <c r="A329" s="171">
        <v>150</v>
      </c>
      <c r="B329" s="171" t="s">
        <v>278</v>
      </c>
      <c r="C329" s="171">
        <v>4500110453</v>
      </c>
      <c r="D329" s="171">
        <v>7707031531</v>
      </c>
      <c r="E329" s="172" t="s">
        <v>279</v>
      </c>
      <c r="F329" s="172" t="s">
        <v>549</v>
      </c>
      <c r="G329" s="172" t="s">
        <v>281</v>
      </c>
      <c r="H329" s="172" t="s">
        <v>550</v>
      </c>
      <c r="I329" s="172" t="s">
        <v>551</v>
      </c>
      <c r="J329" s="172" t="s">
        <v>552</v>
      </c>
      <c r="K329" s="172" t="s">
        <v>628</v>
      </c>
      <c r="L329" s="172" t="s">
        <v>157</v>
      </c>
      <c r="M329" s="173">
        <v>1</v>
      </c>
      <c r="N329" s="173" t="str">
        <f>_xlfn.XLOOKUP(K329,'[1]From CDC site verification P1 '!D:D,'[1]From CDC site verification P1 '!E:E,0,0)</f>
        <v>13-4034-BV-0188</v>
      </c>
    </row>
    <row r="330" spans="1:14" s="174" customFormat="1" ht="55.5" customHeight="1">
      <c r="A330" s="171">
        <v>150</v>
      </c>
      <c r="B330" s="171" t="s">
        <v>278</v>
      </c>
      <c r="C330" s="171">
        <v>4500110453</v>
      </c>
      <c r="D330" s="171">
        <v>7707031531</v>
      </c>
      <c r="E330" s="172" t="s">
        <v>279</v>
      </c>
      <c r="F330" s="172" t="s">
        <v>549</v>
      </c>
      <c r="G330" s="172" t="s">
        <v>281</v>
      </c>
      <c r="H330" s="172" t="s">
        <v>550</v>
      </c>
      <c r="I330" s="172" t="s">
        <v>551</v>
      </c>
      <c r="J330" s="172" t="s">
        <v>552</v>
      </c>
      <c r="K330" s="172" t="s">
        <v>629</v>
      </c>
      <c r="L330" s="172" t="s">
        <v>157</v>
      </c>
      <c r="M330" s="173">
        <v>1</v>
      </c>
      <c r="N330" s="173" t="s">
        <v>286</v>
      </c>
    </row>
    <row r="331" spans="1:14" s="174" customFormat="1" ht="55.5" customHeight="1">
      <c r="A331" s="171">
        <v>150</v>
      </c>
      <c r="B331" s="171" t="s">
        <v>278</v>
      </c>
      <c r="C331" s="171">
        <v>4500110453</v>
      </c>
      <c r="D331" s="171">
        <v>7707031531</v>
      </c>
      <c r="E331" s="172" t="s">
        <v>279</v>
      </c>
      <c r="F331" s="172" t="s">
        <v>549</v>
      </c>
      <c r="G331" s="172" t="s">
        <v>281</v>
      </c>
      <c r="H331" s="172" t="s">
        <v>550</v>
      </c>
      <c r="I331" s="172" t="s">
        <v>551</v>
      </c>
      <c r="J331" s="172" t="s">
        <v>552</v>
      </c>
      <c r="K331" s="172" t="s">
        <v>630</v>
      </c>
      <c r="L331" s="172" t="s">
        <v>157</v>
      </c>
      <c r="M331" s="173">
        <v>1</v>
      </c>
      <c r="N331" s="173" t="s">
        <v>286</v>
      </c>
    </row>
    <row r="332" spans="1:14" s="174" customFormat="1" ht="55.5" customHeight="1">
      <c r="A332" s="171">
        <v>150</v>
      </c>
      <c r="B332" s="171" t="s">
        <v>278</v>
      </c>
      <c r="C332" s="171">
        <v>4500110453</v>
      </c>
      <c r="D332" s="171">
        <v>7707031531</v>
      </c>
      <c r="E332" s="172" t="s">
        <v>279</v>
      </c>
      <c r="F332" s="172" t="s">
        <v>549</v>
      </c>
      <c r="G332" s="172" t="s">
        <v>281</v>
      </c>
      <c r="H332" s="172" t="s">
        <v>550</v>
      </c>
      <c r="I332" s="172" t="s">
        <v>551</v>
      </c>
      <c r="J332" s="172" t="s">
        <v>552</v>
      </c>
      <c r="K332" s="172" t="s">
        <v>631</v>
      </c>
      <c r="L332" s="172" t="s">
        <v>157</v>
      </c>
      <c r="M332" s="173">
        <v>1</v>
      </c>
      <c r="N332" s="173" t="s">
        <v>286</v>
      </c>
    </row>
    <row r="333" spans="1:14" s="174" customFormat="1" ht="55.5" customHeight="1">
      <c r="A333" s="171">
        <v>150</v>
      </c>
      <c r="B333" s="171" t="s">
        <v>278</v>
      </c>
      <c r="C333" s="171">
        <v>4500110453</v>
      </c>
      <c r="D333" s="171">
        <v>7707031531</v>
      </c>
      <c r="E333" s="172" t="s">
        <v>279</v>
      </c>
      <c r="F333" s="172" t="s">
        <v>549</v>
      </c>
      <c r="G333" s="172" t="s">
        <v>281</v>
      </c>
      <c r="H333" s="172" t="s">
        <v>550</v>
      </c>
      <c r="I333" s="172" t="s">
        <v>551</v>
      </c>
      <c r="J333" s="172" t="s">
        <v>552</v>
      </c>
      <c r="K333" s="172" t="s">
        <v>632</v>
      </c>
      <c r="L333" s="172" t="s">
        <v>157</v>
      </c>
      <c r="M333" s="173">
        <v>1</v>
      </c>
      <c r="N333" s="173" t="str">
        <f>_xlfn.XLOOKUP(K333,'[1]From CDC site verification P1 '!D:D,'[1]From CDC site verification P1 '!E:E,0,0)</f>
        <v>13-4034-BV-0185</v>
      </c>
    </row>
    <row r="334" spans="1:14" s="174" customFormat="1" ht="55.5" customHeight="1">
      <c r="A334" s="171">
        <v>160</v>
      </c>
      <c r="B334" s="171" t="s">
        <v>278</v>
      </c>
      <c r="C334" s="171">
        <v>4500110453</v>
      </c>
      <c r="D334" s="171">
        <v>7707031551</v>
      </c>
      <c r="E334" s="172" t="s">
        <v>279</v>
      </c>
      <c r="F334" s="172" t="s">
        <v>280</v>
      </c>
      <c r="G334" s="172" t="s">
        <v>281</v>
      </c>
      <c r="H334" s="172" t="s">
        <v>550</v>
      </c>
      <c r="I334" s="172" t="s">
        <v>551</v>
      </c>
      <c r="J334" s="172" t="s">
        <v>552</v>
      </c>
      <c r="K334" s="172" t="s">
        <v>633</v>
      </c>
      <c r="L334" s="172" t="s">
        <v>157</v>
      </c>
      <c r="M334" s="173">
        <v>1</v>
      </c>
      <c r="N334" s="173" t="s">
        <v>286</v>
      </c>
    </row>
    <row r="335" spans="1:14" s="174" customFormat="1" ht="55.5" customHeight="1">
      <c r="A335" s="171">
        <v>160</v>
      </c>
      <c r="B335" s="171" t="s">
        <v>278</v>
      </c>
      <c r="C335" s="171">
        <v>4500110453</v>
      </c>
      <c r="D335" s="171">
        <v>7707031551</v>
      </c>
      <c r="E335" s="172" t="s">
        <v>279</v>
      </c>
      <c r="F335" s="172" t="s">
        <v>280</v>
      </c>
      <c r="G335" s="172" t="s">
        <v>281</v>
      </c>
      <c r="H335" s="172" t="s">
        <v>550</v>
      </c>
      <c r="I335" s="172" t="s">
        <v>551</v>
      </c>
      <c r="J335" s="172" t="s">
        <v>552</v>
      </c>
      <c r="K335" s="172" t="s">
        <v>634</v>
      </c>
      <c r="L335" s="172" t="s">
        <v>157</v>
      </c>
      <c r="M335" s="173">
        <v>1</v>
      </c>
      <c r="N335" s="173" t="s">
        <v>286</v>
      </c>
    </row>
    <row r="336" spans="1:14" s="174" customFormat="1" ht="55.5" customHeight="1">
      <c r="A336" s="171">
        <v>160</v>
      </c>
      <c r="B336" s="171" t="s">
        <v>278</v>
      </c>
      <c r="C336" s="171">
        <v>4500110453</v>
      </c>
      <c r="D336" s="171">
        <v>7707031551</v>
      </c>
      <c r="E336" s="172" t="s">
        <v>279</v>
      </c>
      <c r="F336" s="172" t="s">
        <v>280</v>
      </c>
      <c r="G336" s="172" t="s">
        <v>281</v>
      </c>
      <c r="H336" s="172" t="s">
        <v>550</v>
      </c>
      <c r="I336" s="172" t="s">
        <v>551</v>
      </c>
      <c r="J336" s="172" t="s">
        <v>552</v>
      </c>
      <c r="K336" s="172" t="s">
        <v>635</v>
      </c>
      <c r="L336" s="172" t="s">
        <v>157</v>
      </c>
      <c r="M336" s="173">
        <v>1</v>
      </c>
      <c r="N336" s="173" t="s">
        <v>286</v>
      </c>
    </row>
    <row r="337" spans="1:14" s="174" customFormat="1" ht="55.5" customHeight="1">
      <c r="A337" s="171">
        <v>170</v>
      </c>
      <c r="B337" s="171" t="s">
        <v>278</v>
      </c>
      <c r="C337" s="171">
        <v>4500110453</v>
      </c>
      <c r="D337" s="171">
        <v>7720041641</v>
      </c>
      <c r="E337" s="172" t="s">
        <v>636</v>
      </c>
      <c r="F337" s="172" t="s">
        <v>637</v>
      </c>
      <c r="G337" s="172" t="s">
        <v>638</v>
      </c>
      <c r="H337" s="172" t="s">
        <v>462</v>
      </c>
      <c r="I337" s="172" t="s">
        <v>283</v>
      </c>
      <c r="J337" s="172" t="s">
        <v>639</v>
      </c>
      <c r="K337" s="172" t="s">
        <v>640</v>
      </c>
      <c r="L337" s="172" t="s">
        <v>1823</v>
      </c>
      <c r="M337" s="173">
        <v>1</v>
      </c>
      <c r="N337" s="173" t="s">
        <v>286</v>
      </c>
    </row>
    <row r="338" spans="1:14" s="174" customFormat="1" ht="55.5" customHeight="1">
      <c r="A338" s="171">
        <v>170</v>
      </c>
      <c r="B338" s="171" t="s">
        <v>278</v>
      </c>
      <c r="C338" s="171">
        <v>4500110453</v>
      </c>
      <c r="D338" s="171">
        <v>7720041641</v>
      </c>
      <c r="E338" s="172" t="s">
        <v>636</v>
      </c>
      <c r="F338" s="172" t="s">
        <v>637</v>
      </c>
      <c r="G338" s="172" t="s">
        <v>638</v>
      </c>
      <c r="H338" s="172" t="s">
        <v>462</v>
      </c>
      <c r="I338" s="172" t="s">
        <v>283</v>
      </c>
      <c r="J338" s="172" t="s">
        <v>639</v>
      </c>
      <c r="K338" s="172" t="s">
        <v>641</v>
      </c>
      <c r="L338" s="172" t="s">
        <v>1823</v>
      </c>
      <c r="M338" s="173">
        <v>1</v>
      </c>
      <c r="N338" s="173" t="s">
        <v>286</v>
      </c>
    </row>
    <row r="339" spans="1:14" s="174" customFormat="1" ht="55.5" customHeight="1">
      <c r="A339" s="171">
        <v>170</v>
      </c>
      <c r="B339" s="171" t="s">
        <v>278</v>
      </c>
      <c r="C339" s="171">
        <v>4500110453</v>
      </c>
      <c r="D339" s="171">
        <v>7720041641</v>
      </c>
      <c r="E339" s="172" t="s">
        <v>636</v>
      </c>
      <c r="F339" s="172" t="s">
        <v>637</v>
      </c>
      <c r="G339" s="172" t="s">
        <v>638</v>
      </c>
      <c r="H339" s="172" t="s">
        <v>462</v>
      </c>
      <c r="I339" s="172" t="s">
        <v>283</v>
      </c>
      <c r="J339" s="172" t="s">
        <v>639</v>
      </c>
      <c r="K339" s="172" t="s">
        <v>642</v>
      </c>
      <c r="L339" s="172" t="s">
        <v>1823</v>
      </c>
      <c r="M339" s="173">
        <v>1</v>
      </c>
      <c r="N339" s="173" t="s">
        <v>286</v>
      </c>
    </row>
    <row r="340" spans="1:14" s="174" customFormat="1" ht="55.5" customHeight="1">
      <c r="A340" s="171">
        <v>180</v>
      </c>
      <c r="B340" s="171" t="s">
        <v>278</v>
      </c>
      <c r="C340" s="171">
        <v>4500110453</v>
      </c>
      <c r="D340" s="171">
        <v>7720041651</v>
      </c>
      <c r="E340" s="172" t="s">
        <v>636</v>
      </c>
      <c r="F340" s="172" t="s">
        <v>643</v>
      </c>
      <c r="G340" s="172" t="s">
        <v>638</v>
      </c>
      <c r="H340" s="172" t="s">
        <v>462</v>
      </c>
      <c r="I340" s="172" t="s">
        <v>283</v>
      </c>
      <c r="J340" s="172" t="s">
        <v>639</v>
      </c>
      <c r="K340" s="172" t="s">
        <v>644</v>
      </c>
      <c r="L340" s="172" t="s">
        <v>1823</v>
      </c>
      <c r="M340" s="173">
        <v>1</v>
      </c>
      <c r="N340" s="173" t="s">
        <v>286</v>
      </c>
    </row>
    <row r="341" spans="1:14" s="174" customFormat="1" ht="55.5" customHeight="1">
      <c r="A341" s="171">
        <v>180</v>
      </c>
      <c r="B341" s="171" t="s">
        <v>278</v>
      </c>
      <c r="C341" s="171">
        <v>4500110453</v>
      </c>
      <c r="D341" s="171">
        <v>7720041651</v>
      </c>
      <c r="E341" s="172" t="s">
        <v>636</v>
      </c>
      <c r="F341" s="172" t="s">
        <v>643</v>
      </c>
      <c r="G341" s="172" t="s">
        <v>638</v>
      </c>
      <c r="H341" s="172" t="s">
        <v>462</v>
      </c>
      <c r="I341" s="172" t="s">
        <v>283</v>
      </c>
      <c r="J341" s="172" t="s">
        <v>639</v>
      </c>
      <c r="K341" s="172" t="s">
        <v>645</v>
      </c>
      <c r="L341" s="172" t="s">
        <v>1823</v>
      </c>
      <c r="M341" s="173">
        <v>1</v>
      </c>
      <c r="N341" s="173" t="s">
        <v>286</v>
      </c>
    </row>
    <row r="342" spans="1:14" s="174" customFormat="1" ht="55.5" customHeight="1">
      <c r="A342" s="171">
        <v>180</v>
      </c>
      <c r="B342" s="171" t="s">
        <v>278</v>
      </c>
      <c r="C342" s="171">
        <v>4500110453</v>
      </c>
      <c r="D342" s="171">
        <v>7720041651</v>
      </c>
      <c r="E342" s="172" t="s">
        <v>636</v>
      </c>
      <c r="F342" s="172" t="s">
        <v>643</v>
      </c>
      <c r="G342" s="172" t="s">
        <v>638</v>
      </c>
      <c r="H342" s="172" t="s">
        <v>462</v>
      </c>
      <c r="I342" s="172" t="s">
        <v>283</v>
      </c>
      <c r="J342" s="172" t="s">
        <v>639</v>
      </c>
      <c r="K342" s="172" t="s">
        <v>646</v>
      </c>
      <c r="L342" s="172" t="s">
        <v>1823</v>
      </c>
      <c r="M342" s="173">
        <v>1</v>
      </c>
      <c r="N342" s="173" t="s">
        <v>286</v>
      </c>
    </row>
    <row r="343" spans="1:14" s="174" customFormat="1" ht="55.5" customHeight="1">
      <c r="A343" s="171">
        <v>190</v>
      </c>
      <c r="B343" s="171" t="s">
        <v>278</v>
      </c>
      <c r="C343" s="171">
        <v>4500110453</v>
      </c>
      <c r="D343" s="171">
        <v>7720041661</v>
      </c>
      <c r="E343" s="172" t="s">
        <v>636</v>
      </c>
      <c r="F343" s="172" t="s">
        <v>647</v>
      </c>
      <c r="G343" s="172" t="s">
        <v>638</v>
      </c>
      <c r="H343" s="172" t="s">
        <v>462</v>
      </c>
      <c r="I343" s="172" t="s">
        <v>283</v>
      </c>
      <c r="J343" s="172" t="s">
        <v>639</v>
      </c>
      <c r="K343" s="172" t="s">
        <v>648</v>
      </c>
      <c r="L343" s="172" t="s">
        <v>1823</v>
      </c>
      <c r="M343" s="173">
        <v>1</v>
      </c>
      <c r="N343" s="173" t="s">
        <v>286</v>
      </c>
    </row>
    <row r="344" spans="1:14" s="174" customFormat="1" ht="55.5" customHeight="1">
      <c r="A344" s="171">
        <v>200</v>
      </c>
      <c r="B344" s="171" t="s">
        <v>278</v>
      </c>
      <c r="C344" s="171">
        <v>4500110453</v>
      </c>
      <c r="D344" s="171">
        <v>7720041681</v>
      </c>
      <c r="E344" s="172" t="s">
        <v>636</v>
      </c>
      <c r="F344" s="172" t="s">
        <v>649</v>
      </c>
      <c r="G344" s="172" t="s">
        <v>638</v>
      </c>
      <c r="H344" s="172" t="s">
        <v>462</v>
      </c>
      <c r="I344" s="172" t="s">
        <v>283</v>
      </c>
      <c r="J344" s="172" t="s">
        <v>639</v>
      </c>
      <c r="K344" s="172" t="s">
        <v>650</v>
      </c>
      <c r="L344" s="172" t="s">
        <v>1823</v>
      </c>
      <c r="M344" s="173">
        <v>1</v>
      </c>
      <c r="N344" s="173" t="s">
        <v>286</v>
      </c>
    </row>
    <row r="345" spans="1:14" s="174" customFormat="1" ht="55.5" customHeight="1">
      <c r="A345" s="171">
        <v>200</v>
      </c>
      <c r="B345" s="171" t="s">
        <v>278</v>
      </c>
      <c r="C345" s="171">
        <v>4500110453</v>
      </c>
      <c r="D345" s="171">
        <v>7720041681</v>
      </c>
      <c r="E345" s="172" t="s">
        <v>636</v>
      </c>
      <c r="F345" s="172" t="s">
        <v>649</v>
      </c>
      <c r="G345" s="172" t="s">
        <v>638</v>
      </c>
      <c r="H345" s="172" t="s">
        <v>462</v>
      </c>
      <c r="I345" s="172" t="s">
        <v>283</v>
      </c>
      <c r="J345" s="172" t="s">
        <v>639</v>
      </c>
      <c r="K345" s="172" t="s">
        <v>651</v>
      </c>
      <c r="L345" s="172" t="s">
        <v>1823</v>
      </c>
      <c r="M345" s="173">
        <v>1</v>
      </c>
      <c r="N345" s="173" t="s">
        <v>286</v>
      </c>
    </row>
    <row r="346" spans="1:14" s="174" customFormat="1" ht="55.5" customHeight="1">
      <c r="A346" s="171">
        <v>210</v>
      </c>
      <c r="B346" s="171" t="s">
        <v>278</v>
      </c>
      <c r="C346" s="171">
        <v>4500110453</v>
      </c>
      <c r="D346" s="171">
        <v>7720200641</v>
      </c>
      <c r="E346" s="172" t="s">
        <v>636</v>
      </c>
      <c r="F346" s="172" t="s">
        <v>637</v>
      </c>
      <c r="G346" s="172" t="s">
        <v>638</v>
      </c>
      <c r="H346" s="172" t="s">
        <v>315</v>
      </c>
      <c r="I346" s="172" t="s">
        <v>283</v>
      </c>
      <c r="J346" s="172" t="s">
        <v>639</v>
      </c>
      <c r="K346" s="172" t="s">
        <v>652</v>
      </c>
      <c r="L346" s="172" t="s">
        <v>224</v>
      </c>
      <c r="M346" s="173">
        <v>1</v>
      </c>
      <c r="N346" s="173" t="s">
        <v>286</v>
      </c>
    </row>
    <row r="347" spans="1:14" s="174" customFormat="1" ht="55.5" customHeight="1">
      <c r="A347" s="171">
        <v>210</v>
      </c>
      <c r="B347" s="171" t="s">
        <v>278</v>
      </c>
      <c r="C347" s="171">
        <v>4500110453</v>
      </c>
      <c r="D347" s="171">
        <v>7720200641</v>
      </c>
      <c r="E347" s="172" t="s">
        <v>636</v>
      </c>
      <c r="F347" s="172" t="s">
        <v>637</v>
      </c>
      <c r="G347" s="172" t="s">
        <v>638</v>
      </c>
      <c r="H347" s="172" t="s">
        <v>315</v>
      </c>
      <c r="I347" s="172" t="s">
        <v>283</v>
      </c>
      <c r="J347" s="172" t="s">
        <v>639</v>
      </c>
      <c r="K347" s="172" t="s">
        <v>653</v>
      </c>
      <c r="L347" s="172" t="s">
        <v>224</v>
      </c>
      <c r="M347" s="173">
        <v>1</v>
      </c>
      <c r="N347" s="173" t="s">
        <v>286</v>
      </c>
    </row>
    <row r="348" spans="1:14" s="174" customFormat="1" ht="55.5" customHeight="1">
      <c r="A348" s="171">
        <v>220</v>
      </c>
      <c r="B348" s="171" t="s">
        <v>278</v>
      </c>
      <c r="C348" s="171">
        <v>4500110453</v>
      </c>
      <c r="D348" s="171">
        <v>7730200621</v>
      </c>
      <c r="E348" s="172" t="s">
        <v>654</v>
      </c>
      <c r="F348" s="172" t="s">
        <v>655</v>
      </c>
      <c r="G348" s="172" t="s">
        <v>656</v>
      </c>
      <c r="H348" s="172" t="s">
        <v>315</v>
      </c>
      <c r="I348" s="172" t="s">
        <v>283</v>
      </c>
      <c r="J348" s="172" t="s">
        <v>639</v>
      </c>
      <c r="K348" s="172" t="s">
        <v>657</v>
      </c>
      <c r="L348" s="172" t="s">
        <v>262</v>
      </c>
      <c r="M348" s="173">
        <v>1</v>
      </c>
      <c r="N348" s="173" t="s">
        <v>286</v>
      </c>
    </row>
    <row r="349" spans="1:14" s="174" customFormat="1" ht="55.5" customHeight="1">
      <c r="A349" s="171">
        <v>220</v>
      </c>
      <c r="B349" s="171" t="s">
        <v>278</v>
      </c>
      <c r="C349" s="171">
        <v>4500110453</v>
      </c>
      <c r="D349" s="171">
        <v>7730200621</v>
      </c>
      <c r="E349" s="172" t="s">
        <v>654</v>
      </c>
      <c r="F349" s="172" t="s">
        <v>655</v>
      </c>
      <c r="G349" s="172" t="s">
        <v>656</v>
      </c>
      <c r="H349" s="172" t="s">
        <v>315</v>
      </c>
      <c r="I349" s="172" t="s">
        <v>283</v>
      </c>
      <c r="J349" s="172" t="s">
        <v>639</v>
      </c>
      <c r="K349" s="172" t="s">
        <v>658</v>
      </c>
      <c r="L349" s="172" t="s">
        <v>262</v>
      </c>
      <c r="M349" s="173">
        <v>1</v>
      </c>
      <c r="N349" s="173" t="s">
        <v>286</v>
      </c>
    </row>
    <row r="350" spans="1:14" s="174" customFormat="1" ht="37.5" customHeight="1">
      <c r="A350" s="175"/>
      <c r="B350" s="175"/>
      <c r="C350" s="175"/>
      <c r="D350" s="175"/>
      <c r="E350" s="176"/>
      <c r="F350" s="176"/>
      <c r="G350" s="176"/>
      <c r="H350" s="176"/>
      <c r="I350" s="176"/>
      <c r="M350" s="173"/>
      <c r="N350" s="173"/>
    </row>
  </sheetData>
  <autoFilter ref="A2:N2" xr:uid="{43B92E4E-3E99-4D5D-80F2-CA71B16F8926}"/>
  <mergeCells count="1">
    <mergeCell ref="A1:N1"/>
  </mergeCells>
  <pageMargins left="0.11811023622047245" right="0.11811023622047245" top="0.74803149606299213" bottom="0.55118110236220474" header="0.31496062992125984" footer="0.31496062992125984"/>
  <pageSetup paperSize="9" scale="40" fitToHeight="0" orientation="portrait" r:id="rId1"/>
  <headerFooter>
    <oddFooter>&amp;C&amp;F&amp;A&amp;R&amp;P</oddFooter>
  </headerFooter>
  <rowBreaks count="1" manualBreakCount="1">
    <brk id="170" max="12"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3A68A-C812-4AED-82DA-0A690ECF991F}">
  <sheetPr>
    <pageSetUpPr fitToPage="1"/>
  </sheetPr>
  <dimension ref="A1:N17"/>
  <sheetViews>
    <sheetView view="pageBreakPreview" topLeftCell="A5" zoomScale="70" zoomScaleSheetLayoutView="70" workbookViewId="0">
      <selection activeCell="M15" sqref="M15"/>
    </sheetView>
  </sheetViews>
  <sheetFormatPr defaultColWidth="9.140625" defaultRowHeight="15"/>
  <cols>
    <col min="1" max="1" width="13.85546875" style="177" customWidth="1"/>
    <col min="2" max="2" width="18.5703125" style="177" customWidth="1"/>
    <col min="3" max="3" width="18" style="177" customWidth="1"/>
    <col min="4" max="4" width="19.5703125" style="177" customWidth="1"/>
    <col min="5" max="5" width="32" style="177" customWidth="1"/>
    <col min="6" max="6" width="15.28515625" style="177" customWidth="1"/>
    <col min="7" max="7" width="13.140625" style="177" customWidth="1"/>
    <col min="8" max="9" width="9.42578125" style="177" customWidth="1"/>
    <col min="10" max="10" width="21.5703125" style="177" customWidth="1"/>
    <col min="11" max="11" width="24.5703125" style="177" customWidth="1"/>
    <col min="12" max="12" width="19.7109375" style="177" customWidth="1"/>
    <col min="13" max="13" width="12.28515625" style="177" customWidth="1"/>
    <col min="14" max="14" width="18.7109375" style="177" customWidth="1"/>
    <col min="15" max="16384" width="9.140625" style="178"/>
  </cols>
  <sheetData>
    <row r="1" spans="1:14" s="168" customFormat="1" ht="38.25" customHeight="1">
      <c r="A1" s="469" t="s">
        <v>264</v>
      </c>
      <c r="B1" s="470"/>
      <c r="C1" s="470"/>
      <c r="D1" s="470"/>
      <c r="E1" s="470"/>
      <c r="F1" s="470"/>
      <c r="G1" s="470"/>
      <c r="H1" s="470"/>
      <c r="I1" s="470"/>
      <c r="J1" s="470"/>
      <c r="K1" s="470"/>
      <c r="L1" s="470"/>
      <c r="M1" s="470"/>
      <c r="N1" s="470"/>
    </row>
    <row r="2" spans="1:14" s="168" customFormat="1" ht="38.25" customHeight="1">
      <c r="A2" s="169" t="s">
        <v>265</v>
      </c>
      <c r="B2" s="169" t="s">
        <v>266</v>
      </c>
      <c r="C2" s="169" t="s">
        <v>267</v>
      </c>
      <c r="D2" s="169" t="s">
        <v>268</v>
      </c>
      <c r="E2" s="169" t="s">
        <v>269</v>
      </c>
      <c r="F2" s="169" t="s">
        <v>270</v>
      </c>
      <c r="G2" s="169" t="s">
        <v>271</v>
      </c>
      <c r="H2" s="169" t="s">
        <v>272</v>
      </c>
      <c r="I2" s="169" t="s">
        <v>273</v>
      </c>
      <c r="J2" s="170" t="s">
        <v>274</v>
      </c>
      <c r="K2" s="169" t="s">
        <v>275</v>
      </c>
      <c r="L2" s="169" t="s">
        <v>1822</v>
      </c>
      <c r="M2" s="169" t="s">
        <v>276</v>
      </c>
      <c r="N2" s="169" t="s">
        <v>277</v>
      </c>
    </row>
    <row r="3" spans="1:14" s="174" customFormat="1" ht="48.75" customHeight="1">
      <c r="A3" s="171">
        <v>10</v>
      </c>
      <c r="B3" s="171" t="s">
        <v>278</v>
      </c>
      <c r="C3" s="171">
        <v>4500108527</v>
      </c>
      <c r="D3" s="171">
        <v>7700253551</v>
      </c>
      <c r="E3" s="172" t="s">
        <v>659</v>
      </c>
      <c r="F3" s="172" t="s">
        <v>660</v>
      </c>
      <c r="G3" s="172" t="s">
        <v>281</v>
      </c>
      <c r="H3" s="172" t="s">
        <v>315</v>
      </c>
      <c r="I3" s="172" t="s">
        <v>283</v>
      </c>
      <c r="J3" s="172" t="s">
        <v>284</v>
      </c>
      <c r="K3" s="172" t="s">
        <v>661</v>
      </c>
      <c r="L3" s="172">
        <v>730</v>
      </c>
      <c r="M3" s="173">
        <v>1</v>
      </c>
      <c r="N3" s="173" t="s">
        <v>286</v>
      </c>
    </row>
    <row r="4" spans="1:14" s="174" customFormat="1" ht="48.75" customHeight="1">
      <c r="A4" s="171">
        <v>10</v>
      </c>
      <c r="B4" s="171" t="s">
        <v>278</v>
      </c>
      <c r="C4" s="171">
        <v>4500108527</v>
      </c>
      <c r="D4" s="171">
        <v>7700253551</v>
      </c>
      <c r="E4" s="172" t="s">
        <v>659</v>
      </c>
      <c r="F4" s="172" t="s">
        <v>660</v>
      </c>
      <c r="G4" s="172" t="s">
        <v>281</v>
      </c>
      <c r="H4" s="172" t="s">
        <v>315</v>
      </c>
      <c r="I4" s="172" t="s">
        <v>283</v>
      </c>
      <c r="J4" s="172" t="s">
        <v>284</v>
      </c>
      <c r="K4" s="172" t="s">
        <v>662</v>
      </c>
      <c r="L4" s="172">
        <v>730</v>
      </c>
      <c r="M4" s="173">
        <v>1</v>
      </c>
      <c r="N4" s="173" t="s">
        <v>286</v>
      </c>
    </row>
    <row r="5" spans="1:14" s="174" customFormat="1" ht="48.75" customHeight="1">
      <c r="A5" s="171">
        <v>10</v>
      </c>
      <c r="B5" s="171" t="s">
        <v>278</v>
      </c>
      <c r="C5" s="171">
        <v>4500108527</v>
      </c>
      <c r="D5" s="171">
        <v>7700253551</v>
      </c>
      <c r="E5" s="172" t="s">
        <v>659</v>
      </c>
      <c r="F5" s="172" t="s">
        <v>660</v>
      </c>
      <c r="G5" s="172" t="s">
        <v>281</v>
      </c>
      <c r="H5" s="172" t="s">
        <v>315</v>
      </c>
      <c r="I5" s="172" t="s">
        <v>283</v>
      </c>
      <c r="J5" s="172" t="s">
        <v>284</v>
      </c>
      <c r="K5" s="172" t="s">
        <v>663</v>
      </c>
      <c r="L5" s="172">
        <v>730</v>
      </c>
      <c r="M5" s="173">
        <v>1</v>
      </c>
      <c r="N5" s="173" t="s">
        <v>286</v>
      </c>
    </row>
    <row r="6" spans="1:14" s="174" customFormat="1" ht="48.75" customHeight="1">
      <c r="A6" s="171">
        <v>10</v>
      </c>
      <c r="B6" s="171" t="s">
        <v>278</v>
      </c>
      <c r="C6" s="171">
        <v>4500108527</v>
      </c>
      <c r="D6" s="171">
        <v>7700253551</v>
      </c>
      <c r="E6" s="172" t="s">
        <v>659</v>
      </c>
      <c r="F6" s="172" t="s">
        <v>660</v>
      </c>
      <c r="G6" s="172" t="s">
        <v>281</v>
      </c>
      <c r="H6" s="172" t="s">
        <v>315</v>
      </c>
      <c r="I6" s="172" t="s">
        <v>283</v>
      </c>
      <c r="J6" s="172" t="s">
        <v>284</v>
      </c>
      <c r="K6" s="172" t="s">
        <v>664</v>
      </c>
      <c r="L6" s="172">
        <v>730</v>
      </c>
      <c r="M6" s="173">
        <v>1</v>
      </c>
      <c r="N6" s="173" t="s">
        <v>286</v>
      </c>
    </row>
    <row r="7" spans="1:14" s="174" customFormat="1" ht="48.75" customHeight="1">
      <c r="A7" s="171">
        <v>10</v>
      </c>
      <c r="B7" s="171" t="s">
        <v>278</v>
      </c>
      <c r="C7" s="171">
        <v>4500108527</v>
      </c>
      <c r="D7" s="171">
        <v>7700253551</v>
      </c>
      <c r="E7" s="172" t="s">
        <v>659</v>
      </c>
      <c r="F7" s="172" t="s">
        <v>660</v>
      </c>
      <c r="G7" s="172" t="s">
        <v>281</v>
      </c>
      <c r="H7" s="172" t="s">
        <v>315</v>
      </c>
      <c r="I7" s="172" t="s">
        <v>283</v>
      </c>
      <c r="J7" s="172" t="s">
        <v>284</v>
      </c>
      <c r="K7" s="172" t="s">
        <v>665</v>
      </c>
      <c r="L7" s="172">
        <v>730</v>
      </c>
      <c r="M7" s="173">
        <v>1</v>
      </c>
      <c r="N7" s="173" t="s">
        <v>286</v>
      </c>
    </row>
    <row r="8" spans="1:14" s="174" customFormat="1" ht="48.75" customHeight="1">
      <c r="A8" s="171">
        <v>10</v>
      </c>
      <c r="B8" s="171" t="s">
        <v>278</v>
      </c>
      <c r="C8" s="171">
        <v>4500108527</v>
      </c>
      <c r="D8" s="171">
        <v>7700253551</v>
      </c>
      <c r="E8" s="172" t="s">
        <v>659</v>
      </c>
      <c r="F8" s="172" t="s">
        <v>660</v>
      </c>
      <c r="G8" s="172" t="s">
        <v>281</v>
      </c>
      <c r="H8" s="172" t="s">
        <v>315</v>
      </c>
      <c r="I8" s="172" t="s">
        <v>283</v>
      </c>
      <c r="J8" s="172" t="s">
        <v>284</v>
      </c>
      <c r="K8" s="172" t="s">
        <v>666</v>
      </c>
      <c r="L8" s="172">
        <v>730</v>
      </c>
      <c r="M8" s="173">
        <v>1</v>
      </c>
      <c r="N8" s="173" t="s">
        <v>286</v>
      </c>
    </row>
    <row r="9" spans="1:14" s="174" customFormat="1" ht="48.75" customHeight="1">
      <c r="A9" s="171">
        <v>20</v>
      </c>
      <c r="B9" s="171" t="s">
        <v>278</v>
      </c>
      <c r="C9" s="171">
        <v>4500108527</v>
      </c>
      <c r="D9" s="171">
        <v>7705450101</v>
      </c>
      <c r="E9" s="171" t="s">
        <v>659</v>
      </c>
      <c r="F9" s="172" t="s">
        <v>295</v>
      </c>
      <c r="G9" s="172" t="s">
        <v>281</v>
      </c>
      <c r="H9" s="172" t="s">
        <v>282</v>
      </c>
      <c r="I9" s="172" t="s">
        <v>283</v>
      </c>
      <c r="J9" s="172" t="s">
        <v>667</v>
      </c>
      <c r="K9" s="172" t="s">
        <v>668</v>
      </c>
      <c r="L9" s="172">
        <v>715</v>
      </c>
      <c r="M9" s="173">
        <v>1</v>
      </c>
      <c r="N9" s="173" t="s">
        <v>286</v>
      </c>
    </row>
    <row r="10" spans="1:14" s="174" customFormat="1" ht="48.75" customHeight="1">
      <c r="A10" s="171">
        <v>20</v>
      </c>
      <c r="B10" s="171" t="s">
        <v>278</v>
      </c>
      <c r="C10" s="171">
        <v>4500108527</v>
      </c>
      <c r="D10" s="171">
        <v>7705450101</v>
      </c>
      <c r="E10" s="171" t="s">
        <v>659</v>
      </c>
      <c r="F10" s="172" t="s">
        <v>295</v>
      </c>
      <c r="G10" s="172" t="s">
        <v>281</v>
      </c>
      <c r="H10" s="172" t="s">
        <v>282</v>
      </c>
      <c r="I10" s="172" t="s">
        <v>283</v>
      </c>
      <c r="J10" s="172" t="s">
        <v>667</v>
      </c>
      <c r="K10" s="172" t="s">
        <v>669</v>
      </c>
      <c r="L10" s="172">
        <v>715</v>
      </c>
      <c r="M10" s="173">
        <v>1</v>
      </c>
      <c r="N10" s="173" t="s">
        <v>286</v>
      </c>
    </row>
    <row r="11" spans="1:14" s="174" customFormat="1" ht="48.75" customHeight="1">
      <c r="A11" s="171">
        <v>20</v>
      </c>
      <c r="B11" s="171" t="s">
        <v>278</v>
      </c>
      <c r="C11" s="171">
        <v>4500108527</v>
      </c>
      <c r="D11" s="171">
        <v>7705450101</v>
      </c>
      <c r="E11" s="171" t="s">
        <v>659</v>
      </c>
      <c r="F11" s="172" t="s">
        <v>295</v>
      </c>
      <c r="G11" s="172" t="s">
        <v>281</v>
      </c>
      <c r="H11" s="172" t="s">
        <v>282</v>
      </c>
      <c r="I11" s="172" t="s">
        <v>283</v>
      </c>
      <c r="J11" s="172" t="s">
        <v>667</v>
      </c>
      <c r="K11" s="172" t="s">
        <v>670</v>
      </c>
      <c r="L11" s="172">
        <v>715</v>
      </c>
      <c r="M11" s="173">
        <v>1</v>
      </c>
      <c r="N11" s="173" t="s">
        <v>286</v>
      </c>
    </row>
    <row r="12" spans="1:14" s="174" customFormat="1" ht="48.75" customHeight="1">
      <c r="A12" s="171">
        <v>20</v>
      </c>
      <c r="B12" s="171" t="s">
        <v>278</v>
      </c>
      <c r="C12" s="171">
        <v>4500108527</v>
      </c>
      <c r="D12" s="171">
        <v>7705450101</v>
      </c>
      <c r="E12" s="171" t="s">
        <v>659</v>
      </c>
      <c r="F12" s="172" t="s">
        <v>295</v>
      </c>
      <c r="G12" s="172" t="s">
        <v>281</v>
      </c>
      <c r="H12" s="172" t="s">
        <v>282</v>
      </c>
      <c r="I12" s="172" t="s">
        <v>283</v>
      </c>
      <c r="J12" s="172" t="s">
        <v>667</v>
      </c>
      <c r="K12" s="172" t="s">
        <v>671</v>
      </c>
      <c r="L12" s="172">
        <v>715</v>
      </c>
      <c r="M12" s="173">
        <v>1</v>
      </c>
      <c r="N12" s="173" t="s">
        <v>286</v>
      </c>
    </row>
    <row r="13" spans="1:14" s="174" customFormat="1" ht="48.75" customHeight="1">
      <c r="A13" s="171">
        <v>20</v>
      </c>
      <c r="B13" s="171" t="s">
        <v>278</v>
      </c>
      <c r="C13" s="171">
        <v>4500108527</v>
      </c>
      <c r="D13" s="171">
        <v>7705450101</v>
      </c>
      <c r="E13" s="171" t="s">
        <v>659</v>
      </c>
      <c r="F13" s="172" t="s">
        <v>295</v>
      </c>
      <c r="G13" s="172" t="s">
        <v>281</v>
      </c>
      <c r="H13" s="172" t="s">
        <v>282</v>
      </c>
      <c r="I13" s="172" t="s">
        <v>283</v>
      </c>
      <c r="J13" s="172" t="s">
        <v>667</v>
      </c>
      <c r="K13" s="172" t="s">
        <v>672</v>
      </c>
      <c r="L13" s="172">
        <v>715</v>
      </c>
      <c r="M13" s="173">
        <v>1</v>
      </c>
      <c r="N13" s="173" t="s">
        <v>286</v>
      </c>
    </row>
    <row r="14" spans="1:14" s="174" customFormat="1" ht="48.75" customHeight="1">
      <c r="A14" s="171">
        <v>30</v>
      </c>
      <c r="B14" s="171" t="s">
        <v>278</v>
      </c>
      <c r="C14" s="171">
        <v>4500108527</v>
      </c>
      <c r="D14" s="171">
        <v>7705453551</v>
      </c>
      <c r="E14" s="172" t="s">
        <v>659</v>
      </c>
      <c r="F14" s="172" t="s">
        <v>660</v>
      </c>
      <c r="G14" s="172" t="s">
        <v>281</v>
      </c>
      <c r="H14" s="172" t="s">
        <v>315</v>
      </c>
      <c r="I14" s="172" t="s">
        <v>283</v>
      </c>
      <c r="J14" s="172" t="s">
        <v>667</v>
      </c>
      <c r="K14" s="172" t="s">
        <v>673</v>
      </c>
      <c r="L14" s="172">
        <v>730</v>
      </c>
      <c r="M14" s="173">
        <v>1</v>
      </c>
      <c r="N14" s="173" t="s">
        <v>286</v>
      </c>
    </row>
    <row r="15" spans="1:14" s="174" customFormat="1" ht="48.75" customHeight="1">
      <c r="A15" s="171">
        <v>30</v>
      </c>
      <c r="B15" s="171" t="s">
        <v>278</v>
      </c>
      <c r="C15" s="171">
        <v>4500108527</v>
      </c>
      <c r="D15" s="171">
        <v>7705453551</v>
      </c>
      <c r="E15" s="172" t="s">
        <v>659</v>
      </c>
      <c r="F15" s="172" t="s">
        <v>660</v>
      </c>
      <c r="G15" s="172" t="s">
        <v>281</v>
      </c>
      <c r="H15" s="172" t="s">
        <v>315</v>
      </c>
      <c r="I15" s="172" t="s">
        <v>283</v>
      </c>
      <c r="J15" s="172" t="s">
        <v>667</v>
      </c>
      <c r="K15" s="172" t="s">
        <v>674</v>
      </c>
      <c r="L15" s="172">
        <v>730</v>
      </c>
      <c r="M15" s="173">
        <v>1</v>
      </c>
      <c r="N15" s="173" t="s">
        <v>286</v>
      </c>
    </row>
    <row r="16" spans="1:14" s="174" customFormat="1" ht="48.75" customHeight="1">
      <c r="A16" s="171">
        <v>30</v>
      </c>
      <c r="B16" s="171" t="s">
        <v>278</v>
      </c>
      <c r="C16" s="171">
        <v>4500108527</v>
      </c>
      <c r="D16" s="171">
        <v>7705453551</v>
      </c>
      <c r="E16" s="172" t="s">
        <v>659</v>
      </c>
      <c r="F16" s="172" t="s">
        <v>660</v>
      </c>
      <c r="G16" s="172" t="s">
        <v>281</v>
      </c>
      <c r="H16" s="172" t="s">
        <v>315</v>
      </c>
      <c r="I16" s="172" t="s">
        <v>283</v>
      </c>
      <c r="J16" s="172" t="s">
        <v>667</v>
      </c>
      <c r="K16" s="172" t="s">
        <v>675</v>
      </c>
      <c r="L16" s="172">
        <v>730</v>
      </c>
      <c r="M16" s="173">
        <v>1</v>
      </c>
      <c r="N16" s="173" t="s">
        <v>286</v>
      </c>
    </row>
    <row r="17" spans="1:14" s="174" customFormat="1" ht="48.75" customHeight="1">
      <c r="A17" s="171">
        <v>30</v>
      </c>
      <c r="B17" s="171" t="s">
        <v>278</v>
      </c>
      <c r="C17" s="171">
        <v>4500108527</v>
      </c>
      <c r="D17" s="171">
        <v>7705453551</v>
      </c>
      <c r="E17" s="172" t="s">
        <v>659</v>
      </c>
      <c r="F17" s="172" t="s">
        <v>660</v>
      </c>
      <c r="G17" s="172" t="s">
        <v>281</v>
      </c>
      <c r="H17" s="172" t="s">
        <v>315</v>
      </c>
      <c r="I17" s="172" t="s">
        <v>283</v>
      </c>
      <c r="J17" s="172" t="s">
        <v>667</v>
      </c>
      <c r="K17" s="172" t="s">
        <v>676</v>
      </c>
      <c r="L17" s="172">
        <v>730</v>
      </c>
      <c r="M17" s="173">
        <v>1</v>
      </c>
      <c r="N17" s="173" t="s">
        <v>286</v>
      </c>
    </row>
  </sheetData>
  <mergeCells count="1">
    <mergeCell ref="A1:N1"/>
  </mergeCells>
  <pageMargins left="0.11811023622047245" right="0.11811023622047245" top="0.74803149606299213" bottom="0.55118110236220474" header="0.31496062992125984" footer="0.31496062992125984"/>
  <pageSetup paperSize="9" scale="42" fitToHeight="0" orientation="portrait" r:id="rId1"/>
  <headerFooter>
    <oddFooter>&amp;C&amp;F&amp;A&amp;R&amp;P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22F25-599D-4B1D-8E1A-5660EDDAD0B4}">
  <sheetPr codeName="Sheet2"/>
  <dimension ref="A1:Q501"/>
  <sheetViews>
    <sheetView topLeftCell="E1" workbookViewId="0">
      <selection activeCell="S45" sqref="S45"/>
    </sheetView>
  </sheetViews>
  <sheetFormatPr defaultRowHeight="12.75"/>
  <cols>
    <col min="1" max="1" width="13.7109375" bestFit="1" customWidth="1"/>
    <col min="2" max="2" width="10.28515625" bestFit="1" customWidth="1"/>
    <col min="3" max="3" width="31.28515625" customWidth="1"/>
    <col min="4" max="4" width="43.28515625" bestFit="1" customWidth="1"/>
    <col min="8" max="8" width="34.5703125" bestFit="1" customWidth="1"/>
    <col min="10" max="10" width="17.28515625" customWidth="1"/>
    <col min="15" max="15" width="5.85546875" customWidth="1"/>
    <col min="16" max="16" width="49.7109375" bestFit="1" customWidth="1"/>
  </cols>
  <sheetData>
    <row r="1" spans="1:17">
      <c r="A1" s="34" t="s">
        <v>677</v>
      </c>
      <c r="B1" s="37" t="s">
        <v>678</v>
      </c>
      <c r="C1" s="37" t="s">
        <v>679</v>
      </c>
      <c r="D1" s="37" t="s">
        <v>680</v>
      </c>
    </row>
    <row r="2" spans="1:17">
      <c r="A2" s="38" t="s">
        <v>681</v>
      </c>
      <c r="B2" t="s">
        <v>682</v>
      </c>
      <c r="C2" s="37" t="s">
        <v>60</v>
      </c>
      <c r="D2" s="37" t="s">
        <v>683</v>
      </c>
      <c r="E2">
        <v>1</v>
      </c>
      <c r="F2" t="s">
        <v>684</v>
      </c>
      <c r="G2" t="s">
        <v>685</v>
      </c>
      <c r="H2" t="s">
        <v>686</v>
      </c>
      <c r="I2" t="s">
        <v>687</v>
      </c>
      <c r="K2" t="s">
        <v>688</v>
      </c>
      <c r="O2" t="s">
        <v>689</v>
      </c>
      <c r="P2" t="s">
        <v>690</v>
      </c>
      <c r="Q2" t="s">
        <v>691</v>
      </c>
    </row>
    <row r="3" spans="1:17">
      <c r="A3" s="38" t="s">
        <v>692</v>
      </c>
      <c r="B3" t="s">
        <v>693</v>
      </c>
      <c r="C3" s="37" t="s">
        <v>694</v>
      </c>
      <c r="D3" s="37" t="s">
        <v>695</v>
      </c>
      <c r="E3">
        <v>2</v>
      </c>
      <c r="F3" t="s">
        <v>681</v>
      </c>
      <c r="G3" t="s">
        <v>696</v>
      </c>
      <c r="H3" t="s">
        <v>697</v>
      </c>
      <c r="I3" t="s">
        <v>698</v>
      </c>
      <c r="J3" s="37" t="s">
        <v>699</v>
      </c>
      <c r="K3" t="s">
        <v>698</v>
      </c>
      <c r="O3" s="37" t="s">
        <v>700</v>
      </c>
      <c r="P3" t="s">
        <v>701</v>
      </c>
      <c r="Q3" t="s">
        <v>702</v>
      </c>
    </row>
    <row r="4" spans="1:17">
      <c r="A4" s="38" t="s">
        <v>703</v>
      </c>
      <c r="B4" t="s">
        <v>704</v>
      </c>
      <c r="C4" s="37" t="s">
        <v>705</v>
      </c>
      <c r="D4" s="37" t="s">
        <v>706</v>
      </c>
      <c r="E4">
        <v>3</v>
      </c>
      <c r="F4" t="s">
        <v>707</v>
      </c>
      <c r="G4" t="s">
        <v>708</v>
      </c>
      <c r="H4" t="s">
        <v>709</v>
      </c>
      <c r="I4" t="s">
        <v>710</v>
      </c>
      <c r="J4" t="s">
        <v>711</v>
      </c>
      <c r="K4" t="s">
        <v>712</v>
      </c>
      <c r="O4" t="s">
        <v>713</v>
      </c>
      <c r="P4" t="s">
        <v>714</v>
      </c>
      <c r="Q4" t="s">
        <v>715</v>
      </c>
    </row>
    <row r="5" spans="1:17">
      <c r="A5" s="35" t="s">
        <v>716</v>
      </c>
      <c r="B5" t="s">
        <v>717</v>
      </c>
      <c r="C5" s="37" t="s">
        <v>718</v>
      </c>
      <c r="D5" s="37" t="s">
        <v>719</v>
      </c>
      <c r="E5">
        <v>4</v>
      </c>
      <c r="F5" t="s">
        <v>703</v>
      </c>
      <c r="G5" t="s">
        <v>720</v>
      </c>
      <c r="H5" t="s">
        <v>721</v>
      </c>
      <c r="I5" t="s">
        <v>722</v>
      </c>
      <c r="J5" t="s">
        <v>723</v>
      </c>
      <c r="K5" t="s">
        <v>722</v>
      </c>
      <c r="O5" s="37" t="s">
        <v>724</v>
      </c>
      <c r="P5" t="s">
        <v>725</v>
      </c>
      <c r="Q5" t="s">
        <v>726</v>
      </c>
    </row>
    <row r="6" spans="1:17">
      <c r="A6" s="35" t="s">
        <v>727</v>
      </c>
      <c r="B6" s="36" t="s">
        <v>728</v>
      </c>
      <c r="C6" s="37" t="s">
        <v>729</v>
      </c>
      <c r="E6">
        <v>5</v>
      </c>
      <c r="F6" t="s">
        <v>716</v>
      </c>
      <c r="G6" t="s">
        <v>730</v>
      </c>
      <c r="H6" t="s">
        <v>731</v>
      </c>
      <c r="I6" t="s">
        <v>732</v>
      </c>
      <c r="J6" t="s">
        <v>733</v>
      </c>
      <c r="K6" t="s">
        <v>734</v>
      </c>
      <c r="O6" t="s">
        <v>735</v>
      </c>
      <c r="P6" t="s">
        <v>736</v>
      </c>
      <c r="Q6" t="s">
        <v>737</v>
      </c>
    </row>
    <row r="7" spans="1:17">
      <c r="A7" s="35" t="s">
        <v>738</v>
      </c>
      <c r="B7" t="s">
        <v>739</v>
      </c>
      <c r="E7">
        <v>6</v>
      </c>
      <c r="F7" t="s">
        <v>727</v>
      </c>
      <c r="G7" t="s">
        <v>740</v>
      </c>
      <c r="H7" t="s">
        <v>741</v>
      </c>
      <c r="I7" s="36" t="s">
        <v>742</v>
      </c>
      <c r="J7" t="s">
        <v>743</v>
      </c>
      <c r="K7" t="s">
        <v>744</v>
      </c>
      <c r="O7" t="s">
        <v>745</v>
      </c>
      <c r="P7" t="s">
        <v>746</v>
      </c>
      <c r="Q7" t="s">
        <v>747</v>
      </c>
    </row>
    <row r="8" spans="1:17">
      <c r="A8" s="35" t="s">
        <v>748</v>
      </c>
      <c r="B8" t="s">
        <v>749</v>
      </c>
      <c r="E8">
        <v>7</v>
      </c>
      <c r="F8" t="s">
        <v>750</v>
      </c>
      <c r="G8" t="s">
        <v>751</v>
      </c>
      <c r="H8" t="s">
        <v>752</v>
      </c>
      <c r="I8" t="s">
        <v>753</v>
      </c>
      <c r="J8" t="s">
        <v>754</v>
      </c>
      <c r="K8" t="s">
        <v>755</v>
      </c>
      <c r="O8" t="s">
        <v>756</v>
      </c>
      <c r="P8" t="s">
        <v>757</v>
      </c>
      <c r="Q8" t="s">
        <v>758</v>
      </c>
    </row>
    <row r="9" spans="1:17">
      <c r="A9" s="35" t="s">
        <v>759</v>
      </c>
      <c r="B9" t="s">
        <v>760</v>
      </c>
      <c r="E9">
        <v>8</v>
      </c>
      <c r="F9" t="s">
        <v>761</v>
      </c>
      <c r="G9" t="s">
        <v>762</v>
      </c>
      <c r="H9" t="s">
        <v>763</v>
      </c>
      <c r="I9" t="s">
        <v>764</v>
      </c>
      <c r="J9" t="s">
        <v>765</v>
      </c>
      <c r="K9" t="s">
        <v>766</v>
      </c>
      <c r="O9" t="s">
        <v>767</v>
      </c>
      <c r="P9" t="s">
        <v>768</v>
      </c>
      <c r="Q9" t="s">
        <v>769</v>
      </c>
    </row>
    <row r="10" spans="1:17">
      <c r="A10" s="35" t="s">
        <v>770</v>
      </c>
      <c r="B10" t="s">
        <v>771</v>
      </c>
      <c r="E10">
        <v>9</v>
      </c>
      <c r="F10" t="s">
        <v>748</v>
      </c>
      <c r="G10" t="s">
        <v>772</v>
      </c>
      <c r="H10" t="s">
        <v>773</v>
      </c>
      <c r="I10" t="s">
        <v>774</v>
      </c>
      <c r="J10" t="s">
        <v>775</v>
      </c>
      <c r="K10" t="s">
        <v>776</v>
      </c>
      <c r="O10" t="s">
        <v>777</v>
      </c>
      <c r="P10" t="s">
        <v>778</v>
      </c>
      <c r="Q10" t="s">
        <v>779</v>
      </c>
    </row>
    <row r="11" spans="1:17">
      <c r="A11" s="35" t="s">
        <v>780</v>
      </c>
      <c r="B11" t="s">
        <v>781</v>
      </c>
      <c r="E11">
        <v>10</v>
      </c>
      <c r="F11" t="s">
        <v>782</v>
      </c>
      <c r="G11" t="s">
        <v>783</v>
      </c>
      <c r="H11" t="s">
        <v>784</v>
      </c>
      <c r="I11" t="s">
        <v>785</v>
      </c>
      <c r="J11" t="s">
        <v>786</v>
      </c>
      <c r="K11" t="s">
        <v>787</v>
      </c>
      <c r="O11" t="s">
        <v>788</v>
      </c>
      <c r="P11" t="s">
        <v>789</v>
      </c>
      <c r="Q11" t="s">
        <v>790</v>
      </c>
    </row>
    <row r="12" spans="1:17">
      <c r="A12" s="35" t="s">
        <v>791</v>
      </c>
      <c r="B12" t="s">
        <v>792</v>
      </c>
      <c r="E12">
        <v>11</v>
      </c>
      <c r="F12" t="s">
        <v>759</v>
      </c>
      <c r="G12" t="s">
        <v>793</v>
      </c>
      <c r="H12" t="s">
        <v>794</v>
      </c>
      <c r="I12" t="s">
        <v>795</v>
      </c>
      <c r="J12" t="s">
        <v>796</v>
      </c>
      <c r="K12" t="s">
        <v>797</v>
      </c>
      <c r="O12" t="s">
        <v>798</v>
      </c>
      <c r="P12" t="s">
        <v>799</v>
      </c>
      <c r="Q12" t="s">
        <v>800</v>
      </c>
    </row>
    <row r="13" spans="1:17">
      <c r="A13" s="35" t="s">
        <v>801</v>
      </c>
      <c r="B13" t="s">
        <v>802</v>
      </c>
      <c r="E13">
        <v>12</v>
      </c>
      <c r="F13" t="s">
        <v>770</v>
      </c>
      <c r="G13" t="s">
        <v>803</v>
      </c>
      <c r="H13" t="s">
        <v>804</v>
      </c>
      <c r="I13" t="s">
        <v>805</v>
      </c>
      <c r="J13" t="s">
        <v>806</v>
      </c>
      <c r="K13" t="s">
        <v>807</v>
      </c>
      <c r="O13" t="s">
        <v>808</v>
      </c>
      <c r="P13" t="s">
        <v>809</v>
      </c>
      <c r="Q13" t="s">
        <v>810</v>
      </c>
    </row>
    <row r="14" spans="1:17">
      <c r="A14" s="35" t="s">
        <v>811</v>
      </c>
      <c r="B14" t="s">
        <v>812</v>
      </c>
      <c r="E14">
        <v>13</v>
      </c>
      <c r="F14" t="s">
        <v>813</v>
      </c>
      <c r="G14" t="s">
        <v>814</v>
      </c>
      <c r="H14" t="s">
        <v>815</v>
      </c>
      <c r="I14" t="s">
        <v>816</v>
      </c>
      <c r="J14" t="s">
        <v>817</v>
      </c>
      <c r="K14" t="s">
        <v>818</v>
      </c>
      <c r="O14" t="s">
        <v>819</v>
      </c>
      <c r="P14" t="s">
        <v>820</v>
      </c>
      <c r="Q14" t="s">
        <v>821</v>
      </c>
    </row>
    <row r="15" spans="1:17">
      <c r="A15" s="35" t="s">
        <v>822</v>
      </c>
      <c r="B15" t="s">
        <v>823</v>
      </c>
      <c r="E15">
        <v>14</v>
      </c>
      <c r="F15" t="s">
        <v>780</v>
      </c>
      <c r="G15" t="s">
        <v>824</v>
      </c>
      <c r="H15" t="s">
        <v>825</v>
      </c>
      <c r="I15" t="s">
        <v>826</v>
      </c>
      <c r="J15" t="s">
        <v>827</v>
      </c>
      <c r="K15" t="s">
        <v>828</v>
      </c>
      <c r="O15" t="s">
        <v>829</v>
      </c>
      <c r="P15" t="s">
        <v>830</v>
      </c>
      <c r="Q15" t="s">
        <v>831</v>
      </c>
    </row>
    <row r="16" spans="1:17">
      <c r="A16" s="35" t="s">
        <v>832</v>
      </c>
      <c r="B16" t="s">
        <v>833</v>
      </c>
      <c r="E16">
        <v>15</v>
      </c>
      <c r="F16" t="s">
        <v>791</v>
      </c>
      <c r="G16" t="s">
        <v>834</v>
      </c>
      <c r="H16" t="s">
        <v>835</v>
      </c>
      <c r="I16" t="s">
        <v>836</v>
      </c>
      <c r="J16" t="s">
        <v>837</v>
      </c>
      <c r="K16" t="s">
        <v>838</v>
      </c>
      <c r="O16" t="s">
        <v>839</v>
      </c>
      <c r="P16" t="s">
        <v>840</v>
      </c>
      <c r="Q16" t="s">
        <v>841</v>
      </c>
    </row>
    <row r="17" spans="1:17">
      <c r="A17" s="35" t="s">
        <v>842</v>
      </c>
      <c r="B17" t="s">
        <v>843</v>
      </c>
      <c r="E17">
        <v>16</v>
      </c>
      <c r="F17" t="s">
        <v>801</v>
      </c>
      <c r="G17" t="s">
        <v>844</v>
      </c>
      <c r="H17" t="s">
        <v>845</v>
      </c>
      <c r="I17" t="s">
        <v>846</v>
      </c>
      <c r="J17" t="s">
        <v>847</v>
      </c>
      <c r="K17" t="s">
        <v>848</v>
      </c>
      <c r="O17" t="s">
        <v>849</v>
      </c>
      <c r="P17" t="s">
        <v>850</v>
      </c>
      <c r="Q17" t="s">
        <v>851</v>
      </c>
    </row>
    <row r="18" spans="1:17">
      <c r="A18" s="35" t="s">
        <v>852</v>
      </c>
      <c r="B18" t="s">
        <v>853</v>
      </c>
      <c r="E18">
        <v>17</v>
      </c>
      <c r="F18" t="s">
        <v>811</v>
      </c>
      <c r="G18" t="s">
        <v>854</v>
      </c>
      <c r="H18" t="s">
        <v>855</v>
      </c>
      <c r="I18" t="s">
        <v>856</v>
      </c>
      <c r="J18" t="s">
        <v>857</v>
      </c>
      <c r="K18" t="s">
        <v>858</v>
      </c>
      <c r="O18" t="s">
        <v>859</v>
      </c>
      <c r="P18" t="s">
        <v>860</v>
      </c>
      <c r="Q18" t="s">
        <v>861</v>
      </c>
    </row>
    <row r="19" spans="1:17">
      <c r="A19" s="35" t="s">
        <v>862</v>
      </c>
      <c r="B19" t="s">
        <v>863</v>
      </c>
      <c r="E19">
        <v>18</v>
      </c>
      <c r="F19" t="s">
        <v>864</v>
      </c>
      <c r="G19" t="s">
        <v>865</v>
      </c>
      <c r="H19" t="s">
        <v>866</v>
      </c>
      <c r="I19" t="s">
        <v>867</v>
      </c>
      <c r="J19" t="s">
        <v>868</v>
      </c>
      <c r="K19" t="s">
        <v>869</v>
      </c>
      <c r="O19" t="s">
        <v>870</v>
      </c>
      <c r="P19" t="s">
        <v>871</v>
      </c>
      <c r="Q19" t="s">
        <v>872</v>
      </c>
    </row>
    <row r="20" spans="1:17">
      <c r="A20" s="35" t="s">
        <v>873</v>
      </c>
      <c r="B20" t="s">
        <v>874</v>
      </c>
      <c r="E20">
        <v>19</v>
      </c>
      <c r="F20" t="s">
        <v>822</v>
      </c>
      <c r="G20" t="s">
        <v>875</v>
      </c>
      <c r="H20" t="s">
        <v>876</v>
      </c>
      <c r="I20" t="s">
        <v>877</v>
      </c>
      <c r="J20" t="s">
        <v>878</v>
      </c>
      <c r="K20" t="s">
        <v>879</v>
      </c>
      <c r="O20" t="s">
        <v>880</v>
      </c>
      <c r="P20" t="s">
        <v>881</v>
      </c>
      <c r="Q20" t="s">
        <v>882</v>
      </c>
    </row>
    <row r="21" spans="1:17">
      <c r="A21" s="35" t="s">
        <v>883</v>
      </c>
      <c r="B21" t="s">
        <v>884</v>
      </c>
      <c r="E21">
        <v>20</v>
      </c>
      <c r="F21" t="s">
        <v>832</v>
      </c>
      <c r="G21" t="s">
        <v>885</v>
      </c>
      <c r="H21" t="s">
        <v>886</v>
      </c>
      <c r="I21" t="s">
        <v>887</v>
      </c>
      <c r="J21" t="s">
        <v>888</v>
      </c>
      <c r="K21" t="s">
        <v>889</v>
      </c>
      <c r="O21" t="s">
        <v>890</v>
      </c>
      <c r="P21" t="s">
        <v>891</v>
      </c>
      <c r="Q21" t="s">
        <v>892</v>
      </c>
    </row>
    <row r="22" spans="1:17">
      <c r="A22" s="35" t="s">
        <v>893</v>
      </c>
      <c r="B22" t="s">
        <v>894</v>
      </c>
      <c r="E22">
        <v>21</v>
      </c>
      <c r="F22" t="s">
        <v>842</v>
      </c>
      <c r="G22" t="s">
        <v>895</v>
      </c>
      <c r="H22" t="s">
        <v>896</v>
      </c>
      <c r="I22" t="s">
        <v>897</v>
      </c>
      <c r="J22" t="s">
        <v>898</v>
      </c>
      <c r="K22" t="s">
        <v>897</v>
      </c>
      <c r="O22" t="s">
        <v>846</v>
      </c>
      <c r="P22" t="s">
        <v>899</v>
      </c>
      <c r="Q22" t="s">
        <v>900</v>
      </c>
    </row>
    <row r="23" spans="1:17">
      <c r="A23" s="35" t="s">
        <v>901</v>
      </c>
      <c r="B23" t="s">
        <v>902</v>
      </c>
      <c r="E23">
        <v>22</v>
      </c>
      <c r="F23" t="s">
        <v>852</v>
      </c>
      <c r="G23" t="s">
        <v>903</v>
      </c>
      <c r="H23" t="s">
        <v>904</v>
      </c>
      <c r="I23" t="s">
        <v>905</v>
      </c>
      <c r="J23" t="s">
        <v>906</v>
      </c>
      <c r="K23" t="s">
        <v>907</v>
      </c>
      <c r="O23" t="s">
        <v>908</v>
      </c>
      <c r="P23" t="s">
        <v>909</v>
      </c>
      <c r="Q23" t="s">
        <v>910</v>
      </c>
    </row>
    <row r="24" spans="1:17">
      <c r="A24" s="35" t="s">
        <v>911</v>
      </c>
      <c r="B24" t="s">
        <v>698</v>
      </c>
      <c r="E24">
        <v>23</v>
      </c>
      <c r="F24" t="s">
        <v>862</v>
      </c>
      <c r="G24" t="s">
        <v>912</v>
      </c>
      <c r="H24" t="s">
        <v>913</v>
      </c>
      <c r="I24" t="s">
        <v>914</v>
      </c>
      <c r="J24" t="s">
        <v>915</v>
      </c>
      <c r="K24" t="s">
        <v>916</v>
      </c>
      <c r="O24" t="s">
        <v>908</v>
      </c>
      <c r="P24" t="s">
        <v>917</v>
      </c>
      <c r="Q24" t="s">
        <v>918</v>
      </c>
    </row>
    <row r="25" spans="1:17">
      <c r="A25" s="35" t="s">
        <v>919</v>
      </c>
      <c r="B25" t="s">
        <v>920</v>
      </c>
      <c r="E25">
        <v>24</v>
      </c>
      <c r="F25" t="s">
        <v>873</v>
      </c>
      <c r="G25" t="s">
        <v>921</v>
      </c>
      <c r="H25" t="s">
        <v>922</v>
      </c>
      <c r="I25" t="s">
        <v>923</v>
      </c>
      <c r="J25" t="s">
        <v>924</v>
      </c>
      <c r="K25" t="s">
        <v>923</v>
      </c>
      <c r="O25" t="s">
        <v>925</v>
      </c>
      <c r="P25" t="s">
        <v>926</v>
      </c>
      <c r="Q25" t="s">
        <v>927</v>
      </c>
    </row>
    <row r="26" spans="1:17">
      <c r="A26" s="35" t="s">
        <v>928</v>
      </c>
      <c r="B26" t="s">
        <v>929</v>
      </c>
      <c r="E26">
        <v>25</v>
      </c>
      <c r="F26" t="s">
        <v>893</v>
      </c>
      <c r="G26" t="s">
        <v>930</v>
      </c>
      <c r="H26" t="s">
        <v>931</v>
      </c>
      <c r="I26" t="s">
        <v>932</v>
      </c>
      <c r="J26" t="s">
        <v>933</v>
      </c>
      <c r="K26" t="s">
        <v>934</v>
      </c>
      <c r="O26" t="s">
        <v>935</v>
      </c>
      <c r="P26" t="s">
        <v>936</v>
      </c>
      <c r="Q26" t="s">
        <v>937</v>
      </c>
    </row>
    <row r="27" spans="1:17">
      <c r="A27" s="35" t="s">
        <v>938</v>
      </c>
      <c r="B27" t="s">
        <v>710</v>
      </c>
      <c r="E27">
        <v>26</v>
      </c>
      <c r="F27" t="s">
        <v>901</v>
      </c>
      <c r="G27" t="s">
        <v>939</v>
      </c>
      <c r="H27" t="s">
        <v>940</v>
      </c>
      <c r="I27" t="s">
        <v>941</v>
      </c>
      <c r="J27" t="s">
        <v>942</v>
      </c>
      <c r="K27" t="s">
        <v>943</v>
      </c>
      <c r="O27" t="s">
        <v>944</v>
      </c>
      <c r="P27" t="s">
        <v>945</v>
      </c>
      <c r="Q27" t="s">
        <v>946</v>
      </c>
    </row>
    <row r="28" spans="1:17">
      <c r="A28" s="35" t="s">
        <v>735</v>
      </c>
      <c r="B28" t="s">
        <v>947</v>
      </c>
      <c r="E28">
        <v>27</v>
      </c>
      <c r="F28" t="s">
        <v>911</v>
      </c>
      <c r="G28" t="s">
        <v>948</v>
      </c>
      <c r="H28" t="s">
        <v>949</v>
      </c>
      <c r="I28" t="s">
        <v>950</v>
      </c>
      <c r="J28" t="s">
        <v>951</v>
      </c>
      <c r="K28" t="s">
        <v>952</v>
      </c>
      <c r="O28" t="s">
        <v>953</v>
      </c>
      <c r="P28" t="s">
        <v>954</v>
      </c>
      <c r="Q28" t="s">
        <v>955</v>
      </c>
    </row>
    <row r="29" spans="1:17">
      <c r="A29" s="35" t="s">
        <v>956</v>
      </c>
      <c r="B29" t="s">
        <v>957</v>
      </c>
      <c r="E29">
        <v>28</v>
      </c>
      <c r="F29" t="s">
        <v>919</v>
      </c>
      <c r="G29" t="s">
        <v>958</v>
      </c>
      <c r="H29" t="s">
        <v>959</v>
      </c>
      <c r="I29" t="s">
        <v>960</v>
      </c>
      <c r="J29" t="s">
        <v>961</v>
      </c>
      <c r="K29" t="s">
        <v>960</v>
      </c>
      <c r="O29" t="s">
        <v>962</v>
      </c>
      <c r="P29" t="s">
        <v>963</v>
      </c>
      <c r="Q29" t="s">
        <v>964</v>
      </c>
    </row>
    <row r="30" spans="1:17">
      <c r="A30" s="35" t="s">
        <v>965</v>
      </c>
      <c r="B30" t="s">
        <v>966</v>
      </c>
      <c r="E30">
        <v>29</v>
      </c>
      <c r="F30" t="s">
        <v>967</v>
      </c>
      <c r="G30" t="s">
        <v>968</v>
      </c>
      <c r="H30" t="s">
        <v>969</v>
      </c>
      <c r="I30" t="s">
        <v>970</v>
      </c>
      <c r="J30" t="s">
        <v>971</v>
      </c>
      <c r="K30" t="s">
        <v>972</v>
      </c>
      <c r="O30" t="s">
        <v>973</v>
      </c>
      <c r="P30" t="s">
        <v>974</v>
      </c>
      <c r="Q30" t="s">
        <v>975</v>
      </c>
    </row>
    <row r="31" spans="1:17">
      <c r="A31" s="35" t="s">
        <v>976</v>
      </c>
      <c r="B31" t="s">
        <v>977</v>
      </c>
      <c r="E31">
        <v>30</v>
      </c>
      <c r="F31" t="s">
        <v>938</v>
      </c>
      <c r="G31" t="s">
        <v>978</v>
      </c>
      <c r="H31" t="s">
        <v>979</v>
      </c>
      <c r="I31" t="s">
        <v>980</v>
      </c>
      <c r="J31" t="s">
        <v>981</v>
      </c>
      <c r="K31" t="s">
        <v>982</v>
      </c>
      <c r="O31" t="s">
        <v>983</v>
      </c>
      <c r="P31" t="s">
        <v>984</v>
      </c>
      <c r="Q31" t="s">
        <v>985</v>
      </c>
    </row>
    <row r="32" spans="1:17">
      <c r="A32" s="35" t="s">
        <v>986</v>
      </c>
      <c r="B32" t="s">
        <v>987</v>
      </c>
      <c r="E32">
        <v>31</v>
      </c>
      <c r="F32" t="s">
        <v>735</v>
      </c>
      <c r="G32" t="s">
        <v>988</v>
      </c>
      <c r="H32" t="s">
        <v>989</v>
      </c>
      <c r="I32" t="s">
        <v>990</v>
      </c>
      <c r="J32" t="s">
        <v>991</v>
      </c>
      <c r="K32" t="s">
        <v>992</v>
      </c>
      <c r="O32" t="s">
        <v>993</v>
      </c>
      <c r="P32" t="s">
        <v>994</v>
      </c>
      <c r="Q32" t="s">
        <v>995</v>
      </c>
    </row>
    <row r="33" spans="1:17">
      <c r="A33" s="35" t="s">
        <v>996</v>
      </c>
      <c r="B33" t="s">
        <v>997</v>
      </c>
      <c r="E33">
        <v>32</v>
      </c>
      <c r="F33" t="s">
        <v>998</v>
      </c>
      <c r="G33" t="s">
        <v>999</v>
      </c>
      <c r="H33" t="s">
        <v>1000</v>
      </c>
      <c r="I33" t="s">
        <v>1001</v>
      </c>
      <c r="J33" t="s">
        <v>1002</v>
      </c>
      <c r="K33" t="s">
        <v>1003</v>
      </c>
      <c r="O33" t="s">
        <v>1004</v>
      </c>
      <c r="P33" t="s">
        <v>57</v>
      </c>
      <c r="Q33" t="s">
        <v>1005</v>
      </c>
    </row>
    <row r="34" spans="1:17">
      <c r="A34" s="35" t="s">
        <v>1006</v>
      </c>
      <c r="B34" t="s">
        <v>1007</v>
      </c>
      <c r="E34">
        <v>33</v>
      </c>
      <c r="F34" t="s">
        <v>976</v>
      </c>
      <c r="G34" t="s">
        <v>1008</v>
      </c>
      <c r="H34" t="s">
        <v>1009</v>
      </c>
      <c r="I34" t="s">
        <v>1010</v>
      </c>
      <c r="J34" t="s">
        <v>1011</v>
      </c>
      <c r="K34" t="s">
        <v>1012</v>
      </c>
      <c r="O34" t="s">
        <v>1013</v>
      </c>
      <c r="P34" t="s">
        <v>1014</v>
      </c>
      <c r="Q34" t="s">
        <v>1015</v>
      </c>
    </row>
    <row r="35" spans="1:17">
      <c r="A35" s="35" t="s">
        <v>1016</v>
      </c>
      <c r="B35" t="s">
        <v>1017</v>
      </c>
      <c r="E35">
        <v>34</v>
      </c>
      <c r="F35" t="s">
        <v>1006</v>
      </c>
      <c r="G35" t="s">
        <v>1018</v>
      </c>
      <c r="H35" t="s">
        <v>1019</v>
      </c>
      <c r="I35" t="s">
        <v>1020</v>
      </c>
      <c r="J35" t="s">
        <v>1021</v>
      </c>
      <c r="K35" t="s">
        <v>1022</v>
      </c>
      <c r="O35" t="s">
        <v>1023</v>
      </c>
      <c r="P35" t="s">
        <v>1024</v>
      </c>
      <c r="Q35" t="s">
        <v>1025</v>
      </c>
    </row>
    <row r="36" spans="1:17">
      <c r="A36" s="35" t="s">
        <v>1026</v>
      </c>
      <c r="B36" t="s">
        <v>732</v>
      </c>
      <c r="E36">
        <v>35</v>
      </c>
      <c r="F36" t="s">
        <v>1016</v>
      </c>
      <c r="G36" t="s">
        <v>1027</v>
      </c>
      <c r="H36" t="s">
        <v>1028</v>
      </c>
      <c r="I36" t="s">
        <v>1029</v>
      </c>
      <c r="J36" t="s">
        <v>1030</v>
      </c>
      <c r="K36" t="s">
        <v>1031</v>
      </c>
      <c r="O36" t="s">
        <v>1032</v>
      </c>
      <c r="P36" t="s">
        <v>1033</v>
      </c>
      <c r="Q36" t="s">
        <v>1034</v>
      </c>
    </row>
    <row r="37" spans="1:17">
      <c r="A37" s="35" t="s">
        <v>1035</v>
      </c>
      <c r="B37" t="s">
        <v>722</v>
      </c>
      <c r="E37">
        <v>36</v>
      </c>
      <c r="F37" t="s">
        <v>1026</v>
      </c>
      <c r="G37" t="s">
        <v>1036</v>
      </c>
      <c r="H37" t="s">
        <v>1037</v>
      </c>
      <c r="I37" t="s">
        <v>1038</v>
      </c>
      <c r="J37" t="s">
        <v>1039</v>
      </c>
      <c r="K37" t="s">
        <v>1040</v>
      </c>
      <c r="O37" t="s">
        <v>1041</v>
      </c>
      <c r="P37" t="s">
        <v>1042</v>
      </c>
      <c r="Q37" t="s">
        <v>1043</v>
      </c>
    </row>
    <row r="38" spans="1:17">
      <c r="A38" s="35" t="s">
        <v>1044</v>
      </c>
      <c r="B38" t="s">
        <v>1045</v>
      </c>
      <c r="E38">
        <v>37</v>
      </c>
      <c r="F38" t="s">
        <v>1044</v>
      </c>
      <c r="G38" t="s">
        <v>1046</v>
      </c>
      <c r="H38" t="s">
        <v>1047</v>
      </c>
      <c r="I38" t="s">
        <v>1048</v>
      </c>
      <c r="J38" t="s">
        <v>59</v>
      </c>
      <c r="K38" t="s">
        <v>1049</v>
      </c>
      <c r="O38" t="s">
        <v>1050</v>
      </c>
      <c r="P38" t="s">
        <v>1051</v>
      </c>
      <c r="Q38" t="s">
        <v>1052</v>
      </c>
    </row>
    <row r="39" spans="1:17">
      <c r="A39" s="35" t="s">
        <v>1053</v>
      </c>
      <c r="B39" t="s">
        <v>1054</v>
      </c>
      <c r="E39">
        <v>38</v>
      </c>
      <c r="F39" t="s">
        <v>1055</v>
      </c>
      <c r="G39" t="s">
        <v>1056</v>
      </c>
      <c r="H39" t="s">
        <v>1057</v>
      </c>
      <c r="I39" t="s">
        <v>1058</v>
      </c>
      <c r="J39" t="s">
        <v>1059</v>
      </c>
      <c r="K39" t="s">
        <v>1060</v>
      </c>
      <c r="O39" t="s">
        <v>1061</v>
      </c>
      <c r="P39" t="s">
        <v>1062</v>
      </c>
      <c r="Q39" t="s">
        <v>1063</v>
      </c>
    </row>
    <row r="40" spans="1:17">
      <c r="A40" s="35" t="s">
        <v>1055</v>
      </c>
      <c r="B40" t="s">
        <v>1064</v>
      </c>
      <c r="E40">
        <v>39</v>
      </c>
      <c r="F40" t="s">
        <v>1065</v>
      </c>
      <c r="G40" t="s">
        <v>1066</v>
      </c>
      <c r="H40" t="s">
        <v>1067</v>
      </c>
      <c r="I40" t="s">
        <v>1068</v>
      </c>
      <c r="J40" t="s">
        <v>1069</v>
      </c>
      <c r="K40" t="s">
        <v>1070</v>
      </c>
      <c r="O40" t="s">
        <v>1071</v>
      </c>
      <c r="P40" t="s">
        <v>1072</v>
      </c>
      <c r="Q40" t="s">
        <v>1073</v>
      </c>
    </row>
    <row r="41" spans="1:17">
      <c r="A41" s="35" t="s">
        <v>1065</v>
      </c>
      <c r="B41" t="s">
        <v>283</v>
      </c>
      <c r="E41">
        <v>40</v>
      </c>
      <c r="F41" t="s">
        <v>1074</v>
      </c>
      <c r="G41" t="s">
        <v>1075</v>
      </c>
      <c r="H41" t="s">
        <v>1076</v>
      </c>
      <c r="I41" t="s">
        <v>1077</v>
      </c>
      <c r="J41" t="s">
        <v>1078</v>
      </c>
      <c r="K41" t="s">
        <v>1079</v>
      </c>
      <c r="O41" t="s">
        <v>1080</v>
      </c>
      <c r="P41" t="s">
        <v>1081</v>
      </c>
      <c r="Q41" t="s">
        <v>1082</v>
      </c>
    </row>
    <row r="42" spans="1:17">
      <c r="A42" s="35" t="s">
        <v>1083</v>
      </c>
      <c r="B42" t="s">
        <v>1084</v>
      </c>
      <c r="E42">
        <v>41</v>
      </c>
      <c r="F42" t="s">
        <v>1083</v>
      </c>
      <c r="G42" t="s">
        <v>1085</v>
      </c>
      <c r="H42" t="s">
        <v>1086</v>
      </c>
      <c r="I42" t="s">
        <v>1087</v>
      </c>
      <c r="J42" t="s">
        <v>66</v>
      </c>
      <c r="K42" t="s">
        <v>1088</v>
      </c>
      <c r="O42" t="s">
        <v>1089</v>
      </c>
      <c r="P42" t="s">
        <v>1090</v>
      </c>
      <c r="Q42" t="s">
        <v>1091</v>
      </c>
    </row>
    <row r="43" spans="1:17">
      <c r="A43" s="35" t="s">
        <v>1092</v>
      </c>
      <c r="B43" t="s">
        <v>1093</v>
      </c>
      <c r="E43">
        <v>42</v>
      </c>
      <c r="F43" t="s">
        <v>1094</v>
      </c>
      <c r="G43" t="s">
        <v>1095</v>
      </c>
      <c r="H43" t="s">
        <v>1096</v>
      </c>
      <c r="I43" t="s">
        <v>1097</v>
      </c>
      <c r="J43" t="s">
        <v>1098</v>
      </c>
      <c r="K43" t="s">
        <v>1099</v>
      </c>
      <c r="O43" t="s">
        <v>1100</v>
      </c>
      <c r="P43" t="s">
        <v>1101</v>
      </c>
      <c r="Q43" t="s">
        <v>1102</v>
      </c>
    </row>
    <row r="44" spans="1:17">
      <c r="A44" s="35" t="s">
        <v>1103</v>
      </c>
      <c r="B44" t="s">
        <v>286</v>
      </c>
      <c r="E44">
        <v>43</v>
      </c>
      <c r="F44" t="s">
        <v>1104</v>
      </c>
      <c r="G44" t="s">
        <v>1105</v>
      </c>
      <c r="H44" t="s">
        <v>1106</v>
      </c>
      <c r="I44" t="s">
        <v>1107</v>
      </c>
      <c r="J44" t="s">
        <v>1108</v>
      </c>
      <c r="K44" t="s">
        <v>1109</v>
      </c>
      <c r="O44" t="s">
        <v>1110</v>
      </c>
      <c r="P44" t="s">
        <v>1111</v>
      </c>
      <c r="Q44" t="s">
        <v>1112</v>
      </c>
    </row>
    <row r="45" spans="1:17">
      <c r="A45" s="35" t="s">
        <v>1113</v>
      </c>
      <c r="B45" t="s">
        <v>1114</v>
      </c>
      <c r="E45">
        <v>44</v>
      </c>
      <c r="F45" t="s">
        <v>1092</v>
      </c>
      <c r="G45" t="s">
        <v>1115</v>
      </c>
      <c r="H45" t="s">
        <v>1116</v>
      </c>
      <c r="I45" t="s">
        <v>1117</v>
      </c>
      <c r="J45" t="s">
        <v>1118</v>
      </c>
      <c r="K45" t="s">
        <v>1119</v>
      </c>
      <c r="O45" t="s">
        <v>1120</v>
      </c>
      <c r="P45" t="s">
        <v>1121</v>
      </c>
      <c r="Q45" t="s">
        <v>1122</v>
      </c>
    </row>
    <row r="46" spans="1:17">
      <c r="A46" s="35" t="s">
        <v>1123</v>
      </c>
      <c r="B46" t="s">
        <v>1124</v>
      </c>
      <c r="E46">
        <v>45</v>
      </c>
      <c r="F46" t="s">
        <v>1103</v>
      </c>
      <c r="G46" t="s">
        <v>1125</v>
      </c>
      <c r="H46" t="s">
        <v>1126</v>
      </c>
      <c r="I46" t="s">
        <v>1127</v>
      </c>
      <c r="J46" t="s">
        <v>80</v>
      </c>
      <c r="K46" t="s">
        <v>1127</v>
      </c>
      <c r="O46" t="s">
        <v>1128</v>
      </c>
      <c r="P46" t="s">
        <v>1129</v>
      </c>
      <c r="Q46" t="s">
        <v>1130</v>
      </c>
    </row>
    <row r="47" spans="1:17">
      <c r="A47" s="35" t="s">
        <v>1131</v>
      </c>
      <c r="B47" t="s">
        <v>1132</v>
      </c>
      <c r="E47">
        <v>46</v>
      </c>
      <c r="F47" t="s">
        <v>1113</v>
      </c>
      <c r="G47" t="s">
        <v>1133</v>
      </c>
      <c r="H47" t="s">
        <v>1134</v>
      </c>
      <c r="I47" t="s">
        <v>1135</v>
      </c>
      <c r="J47" t="s">
        <v>1136</v>
      </c>
      <c r="K47" t="s">
        <v>1137</v>
      </c>
      <c r="O47" t="s">
        <v>1138</v>
      </c>
      <c r="P47" t="s">
        <v>1139</v>
      </c>
      <c r="Q47" t="s">
        <v>1140</v>
      </c>
    </row>
    <row r="48" spans="1:17">
      <c r="A48" s="35" t="s">
        <v>1141</v>
      </c>
      <c r="B48" t="s">
        <v>1142</v>
      </c>
      <c r="E48">
        <v>47</v>
      </c>
      <c r="F48" t="s">
        <v>1123</v>
      </c>
      <c r="G48" t="s">
        <v>1143</v>
      </c>
      <c r="H48" t="s">
        <v>1144</v>
      </c>
      <c r="I48" t="s">
        <v>1145</v>
      </c>
      <c r="J48" t="s">
        <v>1146</v>
      </c>
      <c r="K48" t="s">
        <v>1147</v>
      </c>
      <c r="O48" t="s">
        <v>1148</v>
      </c>
      <c r="P48" t="s">
        <v>1149</v>
      </c>
      <c r="Q48" t="s">
        <v>1150</v>
      </c>
    </row>
    <row r="49" spans="1:17">
      <c r="A49" s="35" t="s">
        <v>1151</v>
      </c>
      <c r="B49" t="s">
        <v>1152</v>
      </c>
      <c r="E49">
        <v>48</v>
      </c>
      <c r="F49" t="s">
        <v>1153</v>
      </c>
      <c r="G49" t="s">
        <v>1154</v>
      </c>
      <c r="H49" t="s">
        <v>1155</v>
      </c>
      <c r="I49" t="s">
        <v>1156</v>
      </c>
      <c r="J49" t="s">
        <v>1157</v>
      </c>
      <c r="K49" t="s">
        <v>1158</v>
      </c>
      <c r="O49" t="s">
        <v>1159</v>
      </c>
      <c r="P49" t="s">
        <v>1160</v>
      </c>
      <c r="Q49" t="s">
        <v>1161</v>
      </c>
    </row>
    <row r="50" spans="1:17">
      <c r="A50" s="35" t="s">
        <v>1162</v>
      </c>
      <c r="B50" t="s">
        <v>1163</v>
      </c>
      <c r="E50">
        <v>49</v>
      </c>
      <c r="F50" t="s">
        <v>1164</v>
      </c>
      <c r="G50" t="s">
        <v>1165</v>
      </c>
      <c r="H50" t="s">
        <v>1166</v>
      </c>
      <c r="I50" t="s">
        <v>1167</v>
      </c>
      <c r="J50" t="s">
        <v>1168</v>
      </c>
      <c r="K50" t="s">
        <v>1169</v>
      </c>
      <c r="O50" t="s">
        <v>1170</v>
      </c>
      <c r="P50" t="s">
        <v>1171</v>
      </c>
      <c r="Q50" t="s">
        <v>1172</v>
      </c>
    </row>
    <row r="51" spans="1:17">
      <c r="A51" s="35" t="s">
        <v>1173</v>
      </c>
      <c r="B51" t="s">
        <v>1174</v>
      </c>
      <c r="E51">
        <v>50</v>
      </c>
      <c r="F51" t="s">
        <v>1131</v>
      </c>
      <c r="G51" t="s">
        <v>1175</v>
      </c>
      <c r="H51" t="s">
        <v>1176</v>
      </c>
      <c r="O51" t="s">
        <v>1177</v>
      </c>
      <c r="P51" t="s">
        <v>1178</v>
      </c>
      <c r="Q51" t="s">
        <v>1179</v>
      </c>
    </row>
    <row r="52" spans="1:17">
      <c r="A52" s="35" t="s">
        <v>1180</v>
      </c>
      <c r="B52" t="s">
        <v>764</v>
      </c>
      <c r="E52">
        <v>51</v>
      </c>
      <c r="F52" t="s">
        <v>1141</v>
      </c>
      <c r="G52" t="s">
        <v>1181</v>
      </c>
      <c r="H52" t="s">
        <v>1182</v>
      </c>
      <c r="O52" t="s">
        <v>1183</v>
      </c>
      <c r="P52" t="s">
        <v>1184</v>
      </c>
      <c r="Q52" t="s">
        <v>1185</v>
      </c>
    </row>
    <row r="53" spans="1:17">
      <c r="A53" s="35" t="s">
        <v>1186</v>
      </c>
      <c r="B53" t="s">
        <v>1187</v>
      </c>
      <c r="E53">
        <v>52</v>
      </c>
      <c r="F53" t="s">
        <v>1188</v>
      </c>
      <c r="G53" t="s">
        <v>1189</v>
      </c>
      <c r="H53" t="s">
        <v>1190</v>
      </c>
      <c r="O53" t="s">
        <v>1191</v>
      </c>
      <c r="P53" t="s">
        <v>1192</v>
      </c>
      <c r="Q53" t="s">
        <v>1193</v>
      </c>
    </row>
    <row r="54" spans="1:17">
      <c r="A54" s="35" t="s">
        <v>1194</v>
      </c>
      <c r="B54" t="s">
        <v>1195</v>
      </c>
      <c r="E54">
        <v>53</v>
      </c>
      <c r="F54" t="s">
        <v>1151</v>
      </c>
      <c r="G54" t="s">
        <v>1196</v>
      </c>
      <c r="H54" t="s">
        <v>1197</v>
      </c>
      <c r="O54" t="s">
        <v>1198</v>
      </c>
      <c r="P54" t="s">
        <v>65</v>
      </c>
      <c r="Q54" t="s">
        <v>1199</v>
      </c>
    </row>
    <row r="55" spans="1:17">
      <c r="A55" s="35" t="s">
        <v>1200</v>
      </c>
      <c r="B55" t="s">
        <v>1201</v>
      </c>
      <c r="E55">
        <v>54</v>
      </c>
      <c r="F55" t="s">
        <v>1162</v>
      </c>
      <c r="G55" t="s">
        <v>1202</v>
      </c>
      <c r="H55" t="s">
        <v>1203</v>
      </c>
      <c r="O55" t="s">
        <v>1204</v>
      </c>
      <c r="P55" t="s">
        <v>1205</v>
      </c>
      <c r="Q55" t="s">
        <v>1206</v>
      </c>
    </row>
    <row r="56" spans="1:17">
      <c r="A56" s="35" t="s">
        <v>1207</v>
      </c>
      <c r="B56" t="s">
        <v>774</v>
      </c>
      <c r="E56">
        <v>55</v>
      </c>
      <c r="F56" t="s">
        <v>1208</v>
      </c>
      <c r="G56" t="s">
        <v>1209</v>
      </c>
      <c r="H56" t="s">
        <v>1210</v>
      </c>
      <c r="O56" t="s">
        <v>1211</v>
      </c>
      <c r="P56" t="s">
        <v>1212</v>
      </c>
      <c r="Q56" t="s">
        <v>1213</v>
      </c>
    </row>
    <row r="57" spans="1:17">
      <c r="A57" s="35" t="s">
        <v>1214</v>
      </c>
      <c r="B57" t="s">
        <v>1215</v>
      </c>
      <c r="E57">
        <v>56</v>
      </c>
      <c r="F57" t="s">
        <v>1173</v>
      </c>
      <c r="G57" t="s">
        <v>1216</v>
      </c>
      <c r="H57" t="s">
        <v>1217</v>
      </c>
      <c r="O57" t="s">
        <v>1218</v>
      </c>
      <c r="P57" t="s">
        <v>1219</v>
      </c>
      <c r="Q57" t="s">
        <v>1220</v>
      </c>
    </row>
    <row r="58" spans="1:17">
      <c r="A58" s="35" t="s">
        <v>1221</v>
      </c>
      <c r="B58" t="s">
        <v>1222</v>
      </c>
      <c r="E58">
        <v>57</v>
      </c>
      <c r="F58" t="s">
        <v>1180</v>
      </c>
      <c r="G58" t="s">
        <v>1223</v>
      </c>
      <c r="H58" t="s">
        <v>1224</v>
      </c>
      <c r="O58" t="s">
        <v>1225</v>
      </c>
      <c r="P58" t="s">
        <v>1226</v>
      </c>
      <c r="Q58" t="s">
        <v>1227</v>
      </c>
    </row>
    <row r="59" spans="1:17">
      <c r="A59" s="35" t="s">
        <v>1228</v>
      </c>
      <c r="B59" t="s">
        <v>1229</v>
      </c>
      <c r="E59">
        <v>58</v>
      </c>
      <c r="F59" t="s">
        <v>1230</v>
      </c>
      <c r="G59" t="s">
        <v>1231</v>
      </c>
      <c r="H59" t="s">
        <v>1232</v>
      </c>
      <c r="O59" t="s">
        <v>1233</v>
      </c>
      <c r="P59" t="s">
        <v>1234</v>
      </c>
      <c r="Q59" t="s">
        <v>1235</v>
      </c>
    </row>
    <row r="60" spans="1:17">
      <c r="A60" s="35" t="s">
        <v>1236</v>
      </c>
      <c r="B60" t="s">
        <v>1237</v>
      </c>
      <c r="E60">
        <v>59</v>
      </c>
      <c r="F60" t="s">
        <v>1186</v>
      </c>
      <c r="G60" t="s">
        <v>1238</v>
      </c>
      <c r="H60" t="s">
        <v>1239</v>
      </c>
      <c r="O60" t="s">
        <v>1240</v>
      </c>
      <c r="P60" t="s">
        <v>1241</v>
      </c>
      <c r="Q60" t="s">
        <v>1242</v>
      </c>
    </row>
    <row r="61" spans="1:17">
      <c r="A61" s="35" t="s">
        <v>1243</v>
      </c>
      <c r="B61" t="s">
        <v>1244</v>
      </c>
      <c r="E61">
        <v>60</v>
      </c>
      <c r="F61" t="s">
        <v>1194</v>
      </c>
      <c r="G61" t="s">
        <v>1245</v>
      </c>
      <c r="H61" t="s">
        <v>1246</v>
      </c>
      <c r="O61" t="s">
        <v>1247</v>
      </c>
      <c r="P61" t="s">
        <v>1248</v>
      </c>
      <c r="Q61" t="s">
        <v>1249</v>
      </c>
    </row>
    <row r="62" spans="1:17">
      <c r="A62" s="35" t="s">
        <v>1250</v>
      </c>
      <c r="B62" t="s">
        <v>1251</v>
      </c>
      <c r="E62">
        <v>61</v>
      </c>
      <c r="F62" t="s">
        <v>1252</v>
      </c>
      <c r="G62" t="s">
        <v>1253</v>
      </c>
      <c r="H62" t="s">
        <v>1254</v>
      </c>
      <c r="O62" t="s">
        <v>1255</v>
      </c>
      <c r="P62" t="s">
        <v>71</v>
      </c>
      <c r="Q62" t="s">
        <v>1256</v>
      </c>
    </row>
    <row r="63" spans="1:17">
      <c r="A63" s="35" t="s">
        <v>1257</v>
      </c>
      <c r="B63" t="s">
        <v>1258</v>
      </c>
      <c r="E63">
        <v>62</v>
      </c>
      <c r="F63" t="s">
        <v>1200</v>
      </c>
      <c r="G63" t="s">
        <v>1259</v>
      </c>
      <c r="H63" t="s">
        <v>1254</v>
      </c>
    </row>
    <row r="64" spans="1:17">
      <c r="A64" s="35" t="s">
        <v>1260</v>
      </c>
      <c r="B64" t="s">
        <v>795</v>
      </c>
      <c r="E64">
        <v>63</v>
      </c>
      <c r="F64" t="s">
        <v>1207</v>
      </c>
      <c r="G64" t="s">
        <v>1261</v>
      </c>
      <c r="H64" t="s">
        <v>1262</v>
      </c>
    </row>
    <row r="65" spans="1:8">
      <c r="A65" s="35" t="s">
        <v>1263</v>
      </c>
      <c r="B65" t="s">
        <v>1264</v>
      </c>
      <c r="E65">
        <v>64</v>
      </c>
      <c r="F65" t="s">
        <v>1214</v>
      </c>
      <c r="G65" t="s">
        <v>1265</v>
      </c>
      <c r="H65" t="s">
        <v>1266</v>
      </c>
    </row>
    <row r="66" spans="1:8">
      <c r="A66" s="35" t="s">
        <v>1267</v>
      </c>
      <c r="B66" t="s">
        <v>805</v>
      </c>
      <c r="E66">
        <v>65</v>
      </c>
      <c r="F66" t="s">
        <v>1221</v>
      </c>
      <c r="G66" t="s">
        <v>1268</v>
      </c>
      <c r="H66" t="s">
        <v>1269</v>
      </c>
    </row>
    <row r="67" spans="1:8">
      <c r="A67" s="35" t="s">
        <v>1270</v>
      </c>
      <c r="B67" t="s">
        <v>1271</v>
      </c>
      <c r="E67">
        <v>66</v>
      </c>
      <c r="F67" t="s">
        <v>1272</v>
      </c>
      <c r="G67" t="s">
        <v>1273</v>
      </c>
      <c r="H67" t="s">
        <v>1274</v>
      </c>
    </row>
    <row r="68" spans="1:8">
      <c r="A68" s="35" t="s">
        <v>1275</v>
      </c>
      <c r="B68" t="s">
        <v>1276</v>
      </c>
      <c r="E68">
        <v>67</v>
      </c>
      <c r="F68" t="s">
        <v>1228</v>
      </c>
      <c r="G68" t="s">
        <v>1277</v>
      </c>
      <c r="H68" t="s">
        <v>1278</v>
      </c>
    </row>
    <row r="69" spans="1:8">
      <c r="A69" s="35" t="s">
        <v>1279</v>
      </c>
      <c r="B69" t="s">
        <v>816</v>
      </c>
      <c r="E69">
        <v>68</v>
      </c>
      <c r="F69" t="s">
        <v>1280</v>
      </c>
      <c r="G69" t="s">
        <v>1281</v>
      </c>
      <c r="H69" t="s">
        <v>1282</v>
      </c>
    </row>
    <row r="70" spans="1:8">
      <c r="A70" s="35" t="s">
        <v>1283</v>
      </c>
      <c r="B70" t="s">
        <v>826</v>
      </c>
      <c r="E70">
        <v>69</v>
      </c>
      <c r="F70" t="s">
        <v>1236</v>
      </c>
      <c r="G70" t="s">
        <v>1284</v>
      </c>
      <c r="H70" t="s">
        <v>1285</v>
      </c>
    </row>
    <row r="71" spans="1:8">
      <c r="A71" s="35" t="s">
        <v>1286</v>
      </c>
      <c r="B71" t="s">
        <v>1287</v>
      </c>
      <c r="E71">
        <v>70</v>
      </c>
      <c r="F71" t="s">
        <v>1243</v>
      </c>
      <c r="G71" t="s">
        <v>1288</v>
      </c>
      <c r="H71" t="s">
        <v>1289</v>
      </c>
    </row>
    <row r="72" spans="1:8">
      <c r="A72" s="35" t="s">
        <v>1290</v>
      </c>
      <c r="B72" t="s">
        <v>836</v>
      </c>
      <c r="E72">
        <v>71</v>
      </c>
      <c r="F72" t="s">
        <v>1250</v>
      </c>
      <c r="G72" t="s">
        <v>1291</v>
      </c>
      <c r="H72" t="s">
        <v>1292</v>
      </c>
    </row>
    <row r="73" spans="1:8">
      <c r="A73" s="35" t="s">
        <v>1293</v>
      </c>
      <c r="B73" t="s">
        <v>1294</v>
      </c>
      <c r="E73">
        <v>72</v>
      </c>
      <c r="F73" t="s">
        <v>1257</v>
      </c>
      <c r="G73" t="s">
        <v>1295</v>
      </c>
      <c r="H73" t="s">
        <v>1296</v>
      </c>
    </row>
    <row r="74" spans="1:8">
      <c r="A74" s="35" t="s">
        <v>1297</v>
      </c>
      <c r="B74" t="s">
        <v>1298</v>
      </c>
      <c r="E74">
        <v>73</v>
      </c>
      <c r="F74" t="s">
        <v>1260</v>
      </c>
      <c r="G74" t="s">
        <v>1299</v>
      </c>
      <c r="H74" t="s">
        <v>1300</v>
      </c>
    </row>
    <row r="75" spans="1:8">
      <c r="A75" s="35" t="s">
        <v>1301</v>
      </c>
      <c r="B75" t="s">
        <v>1302</v>
      </c>
      <c r="E75">
        <v>74</v>
      </c>
      <c r="F75" t="s">
        <v>1263</v>
      </c>
      <c r="G75" t="s">
        <v>1303</v>
      </c>
      <c r="H75" t="s">
        <v>1304</v>
      </c>
    </row>
    <row r="76" spans="1:8">
      <c r="A76" s="35" t="s">
        <v>1305</v>
      </c>
      <c r="B76" t="s">
        <v>856</v>
      </c>
      <c r="E76">
        <v>75</v>
      </c>
      <c r="F76" t="s">
        <v>1267</v>
      </c>
      <c r="G76" t="s">
        <v>1306</v>
      </c>
      <c r="H76" t="s">
        <v>1307</v>
      </c>
    </row>
    <row r="77" spans="1:8">
      <c r="A77" s="35" t="s">
        <v>1308</v>
      </c>
      <c r="B77" t="s">
        <v>1309</v>
      </c>
      <c r="E77">
        <v>76</v>
      </c>
      <c r="F77" t="s">
        <v>1310</v>
      </c>
      <c r="G77" t="s">
        <v>1311</v>
      </c>
      <c r="H77" t="s">
        <v>1312</v>
      </c>
    </row>
    <row r="78" spans="1:8">
      <c r="A78" s="35" t="s">
        <v>1313</v>
      </c>
      <c r="B78" t="s">
        <v>846</v>
      </c>
      <c r="E78">
        <v>77</v>
      </c>
      <c r="F78" t="s">
        <v>1270</v>
      </c>
      <c r="G78" t="s">
        <v>1314</v>
      </c>
      <c r="H78" t="s">
        <v>1315</v>
      </c>
    </row>
    <row r="79" spans="1:8">
      <c r="A79" s="35" t="s">
        <v>1316</v>
      </c>
      <c r="B79" t="s">
        <v>1317</v>
      </c>
      <c r="E79">
        <v>78</v>
      </c>
      <c r="F79" t="s">
        <v>1275</v>
      </c>
      <c r="G79" t="s">
        <v>1318</v>
      </c>
      <c r="H79" t="s">
        <v>1319</v>
      </c>
    </row>
    <row r="80" spans="1:8">
      <c r="A80" s="35" t="s">
        <v>1320</v>
      </c>
      <c r="B80" t="s">
        <v>867</v>
      </c>
      <c r="E80">
        <v>79</v>
      </c>
      <c r="F80" t="s">
        <v>1279</v>
      </c>
      <c r="G80" t="s">
        <v>1321</v>
      </c>
      <c r="H80" t="s">
        <v>1322</v>
      </c>
    </row>
    <row r="81" spans="1:8">
      <c r="A81" s="35" t="s">
        <v>1323</v>
      </c>
      <c r="B81" t="s">
        <v>1324</v>
      </c>
      <c r="E81">
        <v>80</v>
      </c>
      <c r="F81" t="s">
        <v>1283</v>
      </c>
      <c r="G81" t="s">
        <v>1325</v>
      </c>
      <c r="H81" t="s">
        <v>1326</v>
      </c>
    </row>
    <row r="82" spans="1:8">
      <c r="A82" s="35" t="s">
        <v>1327</v>
      </c>
      <c r="B82" t="s">
        <v>1328</v>
      </c>
      <c r="E82">
        <v>81</v>
      </c>
      <c r="F82" t="s">
        <v>1286</v>
      </c>
      <c r="G82" t="s">
        <v>1329</v>
      </c>
      <c r="H82" t="s">
        <v>1330</v>
      </c>
    </row>
    <row r="83" spans="1:8">
      <c r="A83" s="35" t="s">
        <v>1331</v>
      </c>
      <c r="B83" t="s">
        <v>1332</v>
      </c>
      <c r="E83">
        <v>82</v>
      </c>
      <c r="F83" t="s">
        <v>1333</v>
      </c>
      <c r="G83" t="s">
        <v>1334</v>
      </c>
      <c r="H83" t="s">
        <v>1335</v>
      </c>
    </row>
    <row r="84" spans="1:8">
      <c r="A84" s="35" t="s">
        <v>1336</v>
      </c>
      <c r="B84" t="s">
        <v>1337</v>
      </c>
      <c r="E84">
        <v>83</v>
      </c>
      <c r="F84" t="s">
        <v>1290</v>
      </c>
      <c r="G84" t="s">
        <v>1338</v>
      </c>
      <c r="H84" t="s">
        <v>1339</v>
      </c>
    </row>
    <row r="85" spans="1:8">
      <c r="A85" s="35" t="s">
        <v>1340</v>
      </c>
      <c r="B85" t="s">
        <v>1341</v>
      </c>
      <c r="E85">
        <v>84</v>
      </c>
      <c r="F85" t="s">
        <v>1293</v>
      </c>
      <c r="G85" t="s">
        <v>1342</v>
      </c>
      <c r="H85" t="s">
        <v>1343</v>
      </c>
    </row>
    <row r="86" spans="1:8">
      <c r="A86" s="35" t="s">
        <v>1344</v>
      </c>
      <c r="B86" t="s">
        <v>1345</v>
      </c>
      <c r="E86">
        <v>85</v>
      </c>
      <c r="F86" t="s">
        <v>1297</v>
      </c>
      <c r="G86" t="s">
        <v>1346</v>
      </c>
      <c r="H86" t="s">
        <v>1347</v>
      </c>
    </row>
    <row r="87" spans="1:8">
      <c r="A87" s="35" t="s">
        <v>1348</v>
      </c>
      <c r="B87" t="s">
        <v>1349</v>
      </c>
      <c r="E87">
        <v>86</v>
      </c>
      <c r="F87" t="s">
        <v>1301</v>
      </c>
      <c r="G87" t="s">
        <v>1350</v>
      </c>
      <c r="H87" t="s">
        <v>1351</v>
      </c>
    </row>
    <row r="88" spans="1:8">
      <c r="A88" s="35" t="s">
        <v>1352</v>
      </c>
      <c r="B88" t="s">
        <v>1353</v>
      </c>
      <c r="E88">
        <v>87</v>
      </c>
      <c r="F88" t="s">
        <v>1305</v>
      </c>
      <c r="G88" t="s">
        <v>1354</v>
      </c>
      <c r="H88" t="s">
        <v>1355</v>
      </c>
    </row>
    <row r="89" spans="1:8">
      <c r="A89" s="35" t="s">
        <v>1356</v>
      </c>
      <c r="B89" t="s">
        <v>1357</v>
      </c>
      <c r="E89">
        <v>88</v>
      </c>
      <c r="F89" t="s">
        <v>1308</v>
      </c>
      <c r="G89" t="s">
        <v>1358</v>
      </c>
      <c r="H89" t="s">
        <v>1359</v>
      </c>
    </row>
    <row r="90" spans="1:8">
      <c r="A90" s="35" t="s">
        <v>1360</v>
      </c>
      <c r="B90" t="s">
        <v>1361</v>
      </c>
      <c r="E90">
        <v>89</v>
      </c>
      <c r="F90" t="s">
        <v>1313</v>
      </c>
      <c r="G90" t="s">
        <v>1362</v>
      </c>
      <c r="H90" t="s">
        <v>1363</v>
      </c>
    </row>
    <row r="91" spans="1:8">
      <c r="A91" s="35" t="s">
        <v>1364</v>
      </c>
      <c r="B91" t="s">
        <v>1365</v>
      </c>
      <c r="E91">
        <v>90</v>
      </c>
      <c r="F91" t="s">
        <v>1316</v>
      </c>
      <c r="G91" t="s">
        <v>1366</v>
      </c>
      <c r="H91" t="s">
        <v>1367</v>
      </c>
    </row>
    <row r="92" spans="1:8">
      <c r="A92" s="35" t="s">
        <v>1368</v>
      </c>
      <c r="B92" t="s">
        <v>1369</v>
      </c>
      <c r="E92">
        <v>91</v>
      </c>
      <c r="F92" t="s">
        <v>1320</v>
      </c>
      <c r="G92" t="s">
        <v>1370</v>
      </c>
      <c r="H92" t="s">
        <v>1371</v>
      </c>
    </row>
    <row r="93" spans="1:8">
      <c r="A93" s="35" t="s">
        <v>1372</v>
      </c>
      <c r="B93" t="s">
        <v>1373</v>
      </c>
      <c r="E93">
        <v>92</v>
      </c>
      <c r="F93" t="s">
        <v>1323</v>
      </c>
      <c r="G93" t="s">
        <v>1374</v>
      </c>
      <c r="H93" t="s">
        <v>1375</v>
      </c>
    </row>
    <row r="94" spans="1:8">
      <c r="A94" s="35" t="s">
        <v>1376</v>
      </c>
      <c r="B94" t="s">
        <v>1377</v>
      </c>
      <c r="E94">
        <v>93</v>
      </c>
      <c r="F94" t="s">
        <v>1327</v>
      </c>
      <c r="G94" t="s">
        <v>1378</v>
      </c>
      <c r="H94" t="s">
        <v>1379</v>
      </c>
    </row>
    <row r="95" spans="1:8">
      <c r="A95" s="35" t="s">
        <v>1380</v>
      </c>
      <c r="B95" t="s">
        <v>1381</v>
      </c>
      <c r="E95">
        <v>94</v>
      </c>
      <c r="F95" t="s">
        <v>1331</v>
      </c>
      <c r="G95" t="s">
        <v>1382</v>
      </c>
      <c r="H95" t="s">
        <v>1383</v>
      </c>
    </row>
    <row r="96" spans="1:8">
      <c r="A96" s="35" t="s">
        <v>1384</v>
      </c>
      <c r="B96" t="s">
        <v>1385</v>
      </c>
      <c r="E96">
        <v>95</v>
      </c>
      <c r="F96" t="s">
        <v>1336</v>
      </c>
      <c r="G96" t="s">
        <v>1386</v>
      </c>
      <c r="H96" t="s">
        <v>1387</v>
      </c>
    </row>
    <row r="97" spans="1:8">
      <c r="A97" s="35" t="s">
        <v>1388</v>
      </c>
      <c r="B97" t="s">
        <v>887</v>
      </c>
      <c r="E97">
        <v>96</v>
      </c>
      <c r="F97" t="s">
        <v>1340</v>
      </c>
      <c r="G97" t="s">
        <v>1389</v>
      </c>
      <c r="H97" t="s">
        <v>1390</v>
      </c>
    </row>
    <row r="98" spans="1:8">
      <c r="A98" s="35" t="s">
        <v>1391</v>
      </c>
      <c r="B98" t="s">
        <v>1392</v>
      </c>
      <c r="E98">
        <v>97</v>
      </c>
      <c r="F98" t="s">
        <v>1344</v>
      </c>
      <c r="G98" t="s">
        <v>1393</v>
      </c>
      <c r="H98" t="s">
        <v>1394</v>
      </c>
    </row>
    <row r="99" spans="1:8">
      <c r="A99" s="35" t="s">
        <v>1395</v>
      </c>
      <c r="B99" t="s">
        <v>1396</v>
      </c>
      <c r="E99">
        <v>98</v>
      </c>
      <c r="F99" t="s">
        <v>1348</v>
      </c>
      <c r="G99" t="s">
        <v>1397</v>
      </c>
      <c r="H99" t="s">
        <v>1398</v>
      </c>
    </row>
    <row r="100" spans="1:8">
      <c r="A100" s="35" t="s">
        <v>1399</v>
      </c>
      <c r="B100" t="s">
        <v>1400</v>
      </c>
      <c r="E100">
        <v>99</v>
      </c>
      <c r="F100" t="s">
        <v>1352</v>
      </c>
      <c r="G100" t="s">
        <v>1401</v>
      </c>
      <c r="H100" t="s">
        <v>1402</v>
      </c>
    </row>
    <row r="101" spans="1:8">
      <c r="A101" s="35" t="s">
        <v>1403</v>
      </c>
      <c r="B101" t="s">
        <v>1404</v>
      </c>
      <c r="E101">
        <v>100</v>
      </c>
      <c r="F101" t="s">
        <v>1405</v>
      </c>
      <c r="G101" t="s">
        <v>1406</v>
      </c>
      <c r="H101" t="s">
        <v>1407</v>
      </c>
    </row>
    <row r="102" spans="1:8">
      <c r="A102" s="35" t="s">
        <v>1408</v>
      </c>
      <c r="B102" t="s">
        <v>897</v>
      </c>
      <c r="E102">
        <v>101</v>
      </c>
      <c r="F102" t="s">
        <v>1409</v>
      </c>
      <c r="G102" t="s">
        <v>1410</v>
      </c>
      <c r="H102" t="s">
        <v>1411</v>
      </c>
    </row>
    <row r="103" spans="1:8">
      <c r="A103" s="35" t="s">
        <v>1412</v>
      </c>
      <c r="B103" t="s">
        <v>1413</v>
      </c>
      <c r="E103">
        <v>102</v>
      </c>
      <c r="F103" t="s">
        <v>1414</v>
      </c>
      <c r="G103" t="s">
        <v>1415</v>
      </c>
      <c r="H103" t="s">
        <v>1416</v>
      </c>
    </row>
    <row r="104" spans="1:8">
      <c r="A104" s="35" t="s">
        <v>1417</v>
      </c>
      <c r="B104" t="s">
        <v>1418</v>
      </c>
      <c r="E104">
        <v>103</v>
      </c>
      <c r="F104" t="s">
        <v>1356</v>
      </c>
      <c r="G104" t="s">
        <v>1419</v>
      </c>
      <c r="H104" t="s">
        <v>1420</v>
      </c>
    </row>
    <row r="105" spans="1:8">
      <c r="A105" s="35" t="s">
        <v>1421</v>
      </c>
      <c r="B105" t="s">
        <v>905</v>
      </c>
      <c r="E105">
        <v>104</v>
      </c>
      <c r="F105" t="s">
        <v>1360</v>
      </c>
      <c r="G105" t="s">
        <v>1422</v>
      </c>
      <c r="H105" t="s">
        <v>1423</v>
      </c>
    </row>
    <row r="106" spans="1:8">
      <c r="A106" s="35" t="s">
        <v>1424</v>
      </c>
      <c r="B106" t="s">
        <v>1425</v>
      </c>
      <c r="E106">
        <v>105</v>
      </c>
      <c r="F106" t="s">
        <v>1364</v>
      </c>
      <c r="G106" t="s">
        <v>1426</v>
      </c>
      <c r="H106" t="s">
        <v>1427</v>
      </c>
    </row>
    <row r="107" spans="1:8">
      <c r="A107" s="35" t="s">
        <v>1428</v>
      </c>
      <c r="B107" t="s">
        <v>742</v>
      </c>
      <c r="E107">
        <v>106</v>
      </c>
      <c r="F107" t="s">
        <v>1429</v>
      </c>
      <c r="G107" t="s">
        <v>1430</v>
      </c>
      <c r="H107" t="s">
        <v>1431</v>
      </c>
    </row>
    <row r="108" spans="1:8">
      <c r="A108" s="35" t="s">
        <v>1432</v>
      </c>
      <c r="B108" t="s">
        <v>753</v>
      </c>
      <c r="E108">
        <v>107</v>
      </c>
      <c r="F108" t="s">
        <v>1372</v>
      </c>
      <c r="G108" t="s">
        <v>1433</v>
      </c>
      <c r="H108" t="s">
        <v>1434</v>
      </c>
    </row>
    <row r="109" spans="1:8">
      <c r="A109" s="35" t="s">
        <v>1435</v>
      </c>
      <c r="B109" t="s">
        <v>914</v>
      </c>
      <c r="E109">
        <v>108</v>
      </c>
      <c r="F109" t="s">
        <v>1376</v>
      </c>
      <c r="G109" t="s">
        <v>1436</v>
      </c>
      <c r="H109" t="s">
        <v>1437</v>
      </c>
    </row>
    <row r="110" spans="1:8">
      <c r="A110" s="35" t="s">
        <v>1438</v>
      </c>
      <c r="B110" t="s">
        <v>1439</v>
      </c>
      <c r="E110">
        <v>109</v>
      </c>
      <c r="F110" t="s">
        <v>1380</v>
      </c>
      <c r="G110" t="s">
        <v>1440</v>
      </c>
      <c r="H110" t="s">
        <v>1441</v>
      </c>
    </row>
    <row r="111" spans="1:8">
      <c r="A111" s="35" t="s">
        <v>1442</v>
      </c>
      <c r="B111" t="s">
        <v>1305</v>
      </c>
      <c r="E111">
        <v>110</v>
      </c>
      <c r="F111" t="s">
        <v>1384</v>
      </c>
      <c r="G111" t="s">
        <v>1443</v>
      </c>
      <c r="H111" t="s">
        <v>1444</v>
      </c>
    </row>
    <row r="112" spans="1:8">
      <c r="A112" s="35" t="s">
        <v>1445</v>
      </c>
      <c r="B112" t="s">
        <v>1446</v>
      </c>
      <c r="E112">
        <v>111</v>
      </c>
      <c r="F112" t="s">
        <v>1447</v>
      </c>
      <c r="G112" t="s">
        <v>1448</v>
      </c>
      <c r="H112" t="s">
        <v>1449</v>
      </c>
    </row>
    <row r="113" spans="1:8">
      <c r="A113" s="35" t="s">
        <v>1450</v>
      </c>
      <c r="B113" t="s">
        <v>1451</v>
      </c>
      <c r="E113">
        <v>112</v>
      </c>
      <c r="F113" t="s">
        <v>1452</v>
      </c>
      <c r="G113" t="s">
        <v>1453</v>
      </c>
      <c r="H113" t="s">
        <v>1454</v>
      </c>
    </row>
    <row r="114" spans="1:8">
      <c r="A114" s="35" t="s">
        <v>1455</v>
      </c>
      <c r="B114" t="s">
        <v>1456</v>
      </c>
      <c r="E114">
        <v>113</v>
      </c>
      <c r="F114" t="s">
        <v>1391</v>
      </c>
      <c r="G114" t="s">
        <v>1457</v>
      </c>
      <c r="H114" t="s">
        <v>1458</v>
      </c>
    </row>
    <row r="115" spans="1:8">
      <c r="A115" s="35" t="s">
        <v>1459</v>
      </c>
      <c r="B115" t="s">
        <v>923</v>
      </c>
      <c r="E115">
        <v>114</v>
      </c>
      <c r="F115" t="s">
        <v>1395</v>
      </c>
      <c r="G115" t="s">
        <v>1460</v>
      </c>
      <c r="H115" t="s">
        <v>1461</v>
      </c>
    </row>
    <row r="116" spans="1:8">
      <c r="A116" s="35" t="s">
        <v>1462</v>
      </c>
      <c r="B116" t="s">
        <v>1463</v>
      </c>
      <c r="E116">
        <v>115</v>
      </c>
      <c r="F116" t="s">
        <v>1399</v>
      </c>
      <c r="G116" t="s">
        <v>1464</v>
      </c>
      <c r="H116" t="s">
        <v>1465</v>
      </c>
    </row>
    <row r="117" spans="1:8">
      <c r="A117" s="35" t="s">
        <v>1466</v>
      </c>
      <c r="B117" t="s">
        <v>1467</v>
      </c>
      <c r="E117">
        <v>116</v>
      </c>
      <c r="F117" t="s">
        <v>1403</v>
      </c>
      <c r="G117" t="s">
        <v>1468</v>
      </c>
      <c r="H117" t="s">
        <v>1469</v>
      </c>
    </row>
    <row r="118" spans="1:8">
      <c r="A118" s="35" t="s">
        <v>1470</v>
      </c>
      <c r="B118" t="s">
        <v>1471</v>
      </c>
      <c r="E118">
        <v>117</v>
      </c>
      <c r="F118" t="s">
        <v>1412</v>
      </c>
      <c r="G118" t="s">
        <v>1472</v>
      </c>
      <c r="H118" t="s">
        <v>1473</v>
      </c>
    </row>
    <row r="119" spans="1:8">
      <c r="A119" s="35" t="s">
        <v>1474</v>
      </c>
      <c r="B119" t="s">
        <v>1475</v>
      </c>
      <c r="E119">
        <v>118</v>
      </c>
      <c r="F119" t="s">
        <v>1476</v>
      </c>
      <c r="G119" t="s">
        <v>1477</v>
      </c>
      <c r="H119" t="s">
        <v>1478</v>
      </c>
    </row>
    <row r="120" spans="1:8">
      <c r="A120" s="35" t="s">
        <v>1479</v>
      </c>
      <c r="B120" t="s">
        <v>1480</v>
      </c>
      <c r="E120">
        <v>119</v>
      </c>
      <c r="F120" t="s">
        <v>1417</v>
      </c>
      <c r="G120" t="s">
        <v>1481</v>
      </c>
      <c r="H120" t="s">
        <v>1478</v>
      </c>
    </row>
    <row r="121" spans="1:8">
      <c r="A121" s="35" t="s">
        <v>1482</v>
      </c>
      <c r="B121" t="s">
        <v>1483</v>
      </c>
      <c r="E121">
        <v>120</v>
      </c>
      <c r="F121" t="s">
        <v>1421</v>
      </c>
      <c r="G121" t="s">
        <v>1484</v>
      </c>
      <c r="H121" t="s">
        <v>1485</v>
      </c>
    </row>
    <row r="122" spans="1:8">
      <c r="A122" s="35" t="s">
        <v>1486</v>
      </c>
      <c r="B122" t="s">
        <v>1487</v>
      </c>
      <c r="E122">
        <v>121</v>
      </c>
      <c r="F122" t="s">
        <v>1424</v>
      </c>
      <c r="G122" t="s">
        <v>1488</v>
      </c>
      <c r="H122" t="s">
        <v>1489</v>
      </c>
    </row>
    <row r="123" spans="1:8">
      <c r="A123" s="35" t="s">
        <v>1490</v>
      </c>
      <c r="B123" t="s">
        <v>1491</v>
      </c>
      <c r="E123">
        <v>122</v>
      </c>
      <c r="F123" t="s">
        <v>1428</v>
      </c>
      <c r="G123" t="s">
        <v>1492</v>
      </c>
      <c r="H123" t="s">
        <v>1493</v>
      </c>
    </row>
    <row r="124" spans="1:8">
      <c r="A124" s="35" t="s">
        <v>1494</v>
      </c>
      <c r="B124" t="s">
        <v>1495</v>
      </c>
      <c r="E124">
        <v>123</v>
      </c>
      <c r="F124" t="s">
        <v>1496</v>
      </c>
      <c r="G124" t="s">
        <v>1497</v>
      </c>
      <c r="H124" t="s">
        <v>1498</v>
      </c>
    </row>
    <row r="125" spans="1:8">
      <c r="A125" s="35" t="s">
        <v>1499</v>
      </c>
      <c r="B125" t="s">
        <v>1500</v>
      </c>
      <c r="E125">
        <v>124</v>
      </c>
      <c r="F125" t="s">
        <v>1432</v>
      </c>
      <c r="G125" t="s">
        <v>1501</v>
      </c>
      <c r="H125" t="s">
        <v>1502</v>
      </c>
    </row>
    <row r="126" spans="1:8">
      <c r="A126" s="35" t="s">
        <v>1503</v>
      </c>
      <c r="B126" t="s">
        <v>1504</v>
      </c>
      <c r="E126">
        <v>125</v>
      </c>
      <c r="F126" t="s">
        <v>1435</v>
      </c>
      <c r="G126" t="s">
        <v>1505</v>
      </c>
      <c r="H126" t="s">
        <v>1506</v>
      </c>
    </row>
    <row r="127" spans="1:8">
      <c r="A127" s="35" t="s">
        <v>1507</v>
      </c>
      <c r="B127" t="s">
        <v>1508</v>
      </c>
      <c r="E127">
        <v>126</v>
      </c>
      <c r="F127" t="s">
        <v>1438</v>
      </c>
      <c r="G127" t="s">
        <v>1509</v>
      </c>
      <c r="H127" t="s">
        <v>1510</v>
      </c>
    </row>
    <row r="128" spans="1:8">
      <c r="A128" s="35" t="s">
        <v>1511</v>
      </c>
      <c r="B128" t="s">
        <v>1512</v>
      </c>
      <c r="E128">
        <v>127</v>
      </c>
      <c r="F128" t="s">
        <v>1442</v>
      </c>
      <c r="G128" t="s">
        <v>1513</v>
      </c>
      <c r="H128" t="s">
        <v>1514</v>
      </c>
    </row>
    <row r="129" spans="1:8">
      <c r="A129" s="35" t="s">
        <v>1515</v>
      </c>
      <c r="B129" t="s">
        <v>932</v>
      </c>
      <c r="E129">
        <v>128</v>
      </c>
      <c r="F129" t="s">
        <v>1445</v>
      </c>
      <c r="G129" t="s">
        <v>1516</v>
      </c>
      <c r="H129" t="s">
        <v>1517</v>
      </c>
    </row>
    <row r="130" spans="1:8">
      <c r="A130" s="35" t="s">
        <v>1518</v>
      </c>
      <c r="B130" t="s">
        <v>1519</v>
      </c>
      <c r="E130">
        <v>129</v>
      </c>
      <c r="F130" t="s">
        <v>1450</v>
      </c>
      <c r="G130" t="s">
        <v>1520</v>
      </c>
      <c r="H130" t="s">
        <v>1521</v>
      </c>
    </row>
    <row r="131" spans="1:8">
      <c r="A131" s="35" t="s">
        <v>1522</v>
      </c>
      <c r="B131" t="s">
        <v>941</v>
      </c>
      <c r="E131">
        <v>130</v>
      </c>
      <c r="F131" t="s">
        <v>1455</v>
      </c>
      <c r="G131" t="s">
        <v>1523</v>
      </c>
      <c r="H131" t="s">
        <v>1524</v>
      </c>
    </row>
    <row r="132" spans="1:8">
      <c r="A132" s="35" t="s">
        <v>1525</v>
      </c>
      <c r="B132" t="s">
        <v>1526</v>
      </c>
      <c r="E132">
        <v>131</v>
      </c>
      <c r="F132" t="s">
        <v>1459</v>
      </c>
      <c r="G132" t="s">
        <v>1527</v>
      </c>
      <c r="H132" t="s">
        <v>1528</v>
      </c>
    </row>
    <row r="133" spans="1:8">
      <c r="A133" s="35" t="s">
        <v>1529</v>
      </c>
      <c r="B133" t="s">
        <v>1530</v>
      </c>
      <c r="E133">
        <v>132</v>
      </c>
      <c r="F133" t="s">
        <v>1462</v>
      </c>
      <c r="G133" t="s">
        <v>1531</v>
      </c>
      <c r="H133" t="s">
        <v>1532</v>
      </c>
    </row>
    <row r="134" spans="1:8">
      <c r="A134" s="35" t="s">
        <v>1533</v>
      </c>
      <c r="B134" t="s">
        <v>1534</v>
      </c>
      <c r="E134">
        <v>133</v>
      </c>
      <c r="F134" t="s">
        <v>1466</v>
      </c>
      <c r="G134" t="s">
        <v>1535</v>
      </c>
      <c r="H134" t="s">
        <v>1536</v>
      </c>
    </row>
    <row r="135" spans="1:8">
      <c r="A135" s="35" t="s">
        <v>1537</v>
      </c>
      <c r="B135" t="s">
        <v>1538</v>
      </c>
      <c r="E135">
        <v>134</v>
      </c>
      <c r="F135" t="s">
        <v>1539</v>
      </c>
      <c r="G135" t="s">
        <v>1540</v>
      </c>
      <c r="H135" t="s">
        <v>1541</v>
      </c>
    </row>
    <row r="136" spans="1:8">
      <c r="A136" s="35" t="s">
        <v>1542</v>
      </c>
      <c r="B136" t="s">
        <v>950</v>
      </c>
      <c r="E136">
        <v>135</v>
      </c>
      <c r="F136" t="s">
        <v>1470</v>
      </c>
      <c r="G136" t="s">
        <v>1543</v>
      </c>
      <c r="H136" t="s">
        <v>1544</v>
      </c>
    </row>
    <row r="137" spans="1:8">
      <c r="A137" s="35" t="s">
        <v>1545</v>
      </c>
      <c r="B137" t="s">
        <v>1546</v>
      </c>
      <c r="E137">
        <v>136</v>
      </c>
      <c r="F137" t="s">
        <v>1474</v>
      </c>
      <c r="G137" t="s">
        <v>1547</v>
      </c>
      <c r="H137" t="s">
        <v>1548</v>
      </c>
    </row>
    <row r="138" spans="1:8">
      <c r="A138" s="35" t="s">
        <v>1549</v>
      </c>
      <c r="B138" t="s">
        <v>1550</v>
      </c>
      <c r="E138">
        <v>137</v>
      </c>
      <c r="F138" t="s">
        <v>1551</v>
      </c>
      <c r="G138" t="s">
        <v>1552</v>
      </c>
      <c r="H138" t="s">
        <v>1553</v>
      </c>
    </row>
    <row r="139" spans="1:8">
      <c r="A139" s="35" t="s">
        <v>1554</v>
      </c>
      <c r="B139" t="s">
        <v>1555</v>
      </c>
      <c r="E139">
        <v>138</v>
      </c>
      <c r="F139" t="s">
        <v>1556</v>
      </c>
      <c r="G139" t="s">
        <v>1557</v>
      </c>
      <c r="H139" t="s">
        <v>1558</v>
      </c>
    </row>
    <row r="140" spans="1:8">
      <c r="A140" s="35" t="s">
        <v>1559</v>
      </c>
      <c r="B140" t="s">
        <v>1560</v>
      </c>
      <c r="E140">
        <v>139</v>
      </c>
      <c r="F140" t="s">
        <v>1486</v>
      </c>
      <c r="G140" t="s">
        <v>1561</v>
      </c>
      <c r="H140" t="s">
        <v>1562</v>
      </c>
    </row>
    <row r="141" spans="1:8">
      <c r="A141" s="35" t="s">
        <v>1563</v>
      </c>
      <c r="B141" t="s">
        <v>960</v>
      </c>
      <c r="E141">
        <v>140</v>
      </c>
      <c r="F141" t="s">
        <v>1490</v>
      </c>
      <c r="G141" t="s">
        <v>1564</v>
      </c>
      <c r="H141" t="s">
        <v>1565</v>
      </c>
    </row>
    <row r="142" spans="1:8">
      <c r="A142" s="35" t="s">
        <v>1566</v>
      </c>
      <c r="B142" t="s">
        <v>1567</v>
      </c>
      <c r="E142">
        <v>141</v>
      </c>
      <c r="F142" t="s">
        <v>1494</v>
      </c>
      <c r="G142" t="s">
        <v>1568</v>
      </c>
      <c r="H142" t="s">
        <v>1569</v>
      </c>
    </row>
    <row r="143" spans="1:8">
      <c r="A143" s="35" t="s">
        <v>1570</v>
      </c>
      <c r="B143" t="s">
        <v>970</v>
      </c>
      <c r="E143">
        <v>142</v>
      </c>
      <c r="F143" t="s">
        <v>1499</v>
      </c>
      <c r="G143" t="s">
        <v>1571</v>
      </c>
      <c r="H143" t="s">
        <v>1572</v>
      </c>
    </row>
    <row r="144" spans="1:8">
      <c r="A144" s="35" t="s">
        <v>1573</v>
      </c>
      <c r="B144" t="s">
        <v>1574</v>
      </c>
      <c r="E144">
        <v>143</v>
      </c>
      <c r="F144" t="s">
        <v>1503</v>
      </c>
      <c r="G144" t="s">
        <v>1575</v>
      </c>
      <c r="H144" t="s">
        <v>1576</v>
      </c>
    </row>
    <row r="145" spans="1:8">
      <c r="A145" s="35" t="s">
        <v>1577</v>
      </c>
      <c r="B145" t="s">
        <v>980</v>
      </c>
      <c r="E145">
        <v>144</v>
      </c>
      <c r="F145" t="s">
        <v>1578</v>
      </c>
      <c r="G145" t="s">
        <v>1579</v>
      </c>
      <c r="H145" t="s">
        <v>1580</v>
      </c>
    </row>
    <row r="146" spans="1:8">
      <c r="A146" s="35" t="s">
        <v>1581</v>
      </c>
      <c r="B146" t="s">
        <v>1582</v>
      </c>
      <c r="E146">
        <v>145</v>
      </c>
      <c r="F146" t="s">
        <v>1511</v>
      </c>
      <c r="G146" t="s">
        <v>1583</v>
      </c>
      <c r="H146" t="s">
        <v>1584</v>
      </c>
    </row>
    <row r="147" spans="1:8">
      <c r="A147" s="35" t="s">
        <v>1585</v>
      </c>
      <c r="B147" t="s">
        <v>1586</v>
      </c>
      <c r="E147">
        <v>146</v>
      </c>
      <c r="F147" t="s">
        <v>1515</v>
      </c>
      <c r="G147" t="s">
        <v>1587</v>
      </c>
      <c r="H147" t="s">
        <v>1588</v>
      </c>
    </row>
    <row r="148" spans="1:8">
      <c r="A148" s="35" t="s">
        <v>1589</v>
      </c>
      <c r="B148" t="s">
        <v>990</v>
      </c>
      <c r="E148">
        <v>147</v>
      </c>
      <c r="F148" t="s">
        <v>1518</v>
      </c>
      <c r="G148" t="s">
        <v>1590</v>
      </c>
      <c r="H148" t="s">
        <v>1591</v>
      </c>
    </row>
    <row r="149" spans="1:8">
      <c r="A149" s="35" t="s">
        <v>1592</v>
      </c>
      <c r="B149" t="s">
        <v>1593</v>
      </c>
      <c r="E149">
        <v>148</v>
      </c>
      <c r="F149" t="s">
        <v>1594</v>
      </c>
      <c r="G149" t="s">
        <v>1595</v>
      </c>
      <c r="H149" t="s">
        <v>1596</v>
      </c>
    </row>
    <row r="150" spans="1:8">
      <c r="A150" s="35" t="s">
        <v>1597</v>
      </c>
      <c r="B150" t="s">
        <v>1598</v>
      </c>
      <c r="E150">
        <v>149</v>
      </c>
      <c r="F150" t="s">
        <v>1599</v>
      </c>
      <c r="G150" t="s">
        <v>1600</v>
      </c>
      <c r="H150" t="s">
        <v>1601</v>
      </c>
    </row>
    <row r="151" spans="1:8">
      <c r="A151" s="35" t="s">
        <v>1602</v>
      </c>
      <c r="B151" t="s">
        <v>1603</v>
      </c>
      <c r="E151">
        <v>150</v>
      </c>
      <c r="F151" t="s">
        <v>1522</v>
      </c>
      <c r="G151" t="s">
        <v>1604</v>
      </c>
      <c r="H151" t="s">
        <v>1605</v>
      </c>
    </row>
    <row r="152" spans="1:8">
      <c r="A152" s="35" t="s">
        <v>1606</v>
      </c>
      <c r="B152" t="s">
        <v>1001</v>
      </c>
      <c r="E152">
        <v>151</v>
      </c>
      <c r="F152" t="s">
        <v>1525</v>
      </c>
      <c r="G152" t="s">
        <v>1607</v>
      </c>
      <c r="H152" t="s">
        <v>1608</v>
      </c>
    </row>
    <row r="153" spans="1:8">
      <c r="A153" s="35" t="s">
        <v>1609</v>
      </c>
      <c r="B153" t="s">
        <v>1610</v>
      </c>
      <c r="E153">
        <v>152</v>
      </c>
      <c r="F153" t="s">
        <v>1611</v>
      </c>
      <c r="G153" t="s">
        <v>1612</v>
      </c>
      <c r="H153" t="s">
        <v>1613</v>
      </c>
    </row>
    <row r="154" spans="1:8">
      <c r="A154" s="35" t="s">
        <v>1614</v>
      </c>
      <c r="B154" t="s">
        <v>1615</v>
      </c>
      <c r="E154">
        <v>153</v>
      </c>
      <c r="F154" t="s">
        <v>656</v>
      </c>
      <c r="G154" t="s">
        <v>1616</v>
      </c>
      <c r="H154" t="s">
        <v>1617</v>
      </c>
    </row>
    <row r="155" spans="1:8">
      <c r="A155" s="35" t="s">
        <v>1618</v>
      </c>
      <c r="B155" t="s">
        <v>1619</v>
      </c>
      <c r="E155">
        <v>154</v>
      </c>
      <c r="F155" t="s">
        <v>1542</v>
      </c>
      <c r="G155" t="s">
        <v>1620</v>
      </c>
      <c r="H155" t="s">
        <v>1621</v>
      </c>
    </row>
    <row r="156" spans="1:8">
      <c r="A156" s="35" t="s">
        <v>1622</v>
      </c>
      <c r="B156" t="s">
        <v>1623</v>
      </c>
      <c r="E156">
        <v>155</v>
      </c>
      <c r="F156" t="s">
        <v>1545</v>
      </c>
      <c r="G156" t="s">
        <v>1624</v>
      </c>
      <c r="H156" t="s">
        <v>1625</v>
      </c>
    </row>
    <row r="157" spans="1:8">
      <c r="A157" s="35" t="s">
        <v>1626</v>
      </c>
      <c r="B157" t="s">
        <v>1627</v>
      </c>
      <c r="E157">
        <v>156</v>
      </c>
      <c r="F157" t="s">
        <v>1628</v>
      </c>
      <c r="G157" t="s">
        <v>1629</v>
      </c>
      <c r="H157" t="s">
        <v>1630</v>
      </c>
    </row>
    <row r="158" spans="1:8">
      <c r="A158" s="35" t="s">
        <v>1631</v>
      </c>
      <c r="B158" t="s">
        <v>1632</v>
      </c>
      <c r="E158">
        <v>157</v>
      </c>
      <c r="F158" t="s">
        <v>1633</v>
      </c>
      <c r="G158" t="s">
        <v>1634</v>
      </c>
      <c r="H158" t="s">
        <v>1635</v>
      </c>
    </row>
    <row r="159" spans="1:8">
      <c r="A159" s="35" t="s">
        <v>1636</v>
      </c>
      <c r="B159" t="s">
        <v>1637</v>
      </c>
      <c r="E159">
        <v>158</v>
      </c>
      <c r="F159" t="s">
        <v>1638</v>
      </c>
      <c r="G159" t="s">
        <v>1639</v>
      </c>
      <c r="H159" t="s">
        <v>1640</v>
      </c>
    </row>
    <row r="160" spans="1:8">
      <c r="A160" s="35" t="s">
        <v>1641</v>
      </c>
      <c r="B160" t="s">
        <v>1642</v>
      </c>
      <c r="E160">
        <v>159</v>
      </c>
      <c r="F160" t="s">
        <v>1643</v>
      </c>
      <c r="G160" t="s">
        <v>1644</v>
      </c>
      <c r="H160" t="s">
        <v>1645</v>
      </c>
    </row>
    <row r="161" spans="1:8">
      <c r="A161" s="35" t="s">
        <v>1646</v>
      </c>
      <c r="B161" t="s">
        <v>1647</v>
      </c>
      <c r="E161">
        <v>160</v>
      </c>
      <c r="F161" t="s">
        <v>1559</v>
      </c>
      <c r="G161" t="s">
        <v>1648</v>
      </c>
      <c r="H161" t="s">
        <v>1649</v>
      </c>
    </row>
    <row r="162" spans="1:8">
      <c r="A162" s="35" t="s">
        <v>1650</v>
      </c>
      <c r="B162" t="s">
        <v>1651</v>
      </c>
      <c r="E162">
        <v>161</v>
      </c>
      <c r="F162" t="s">
        <v>1563</v>
      </c>
      <c r="G162" t="s">
        <v>1652</v>
      </c>
      <c r="H162" t="s">
        <v>1653</v>
      </c>
    </row>
    <row r="163" spans="1:8">
      <c r="A163" s="35" t="s">
        <v>1654</v>
      </c>
      <c r="B163" t="s">
        <v>1655</v>
      </c>
      <c r="E163">
        <v>162</v>
      </c>
      <c r="F163" t="s">
        <v>1656</v>
      </c>
      <c r="G163" t="s">
        <v>1657</v>
      </c>
      <c r="H163" t="s">
        <v>1658</v>
      </c>
    </row>
    <row r="164" spans="1:8">
      <c r="A164" s="35" t="s">
        <v>1659</v>
      </c>
      <c r="B164" t="s">
        <v>1660</v>
      </c>
      <c r="E164">
        <v>163</v>
      </c>
      <c r="F164" t="s">
        <v>1661</v>
      </c>
      <c r="G164" t="s">
        <v>1662</v>
      </c>
      <c r="H164" t="s">
        <v>1663</v>
      </c>
    </row>
    <row r="165" spans="1:8">
      <c r="A165" s="35" t="s">
        <v>1664</v>
      </c>
      <c r="B165" t="s">
        <v>1665</v>
      </c>
      <c r="E165">
        <v>164</v>
      </c>
      <c r="F165" t="s">
        <v>1566</v>
      </c>
      <c r="G165" t="s">
        <v>1666</v>
      </c>
      <c r="H165" t="s">
        <v>1663</v>
      </c>
    </row>
    <row r="166" spans="1:8">
      <c r="A166" s="35" t="s">
        <v>1667</v>
      </c>
      <c r="B166" t="s">
        <v>1668</v>
      </c>
      <c r="E166">
        <v>165</v>
      </c>
      <c r="F166" t="s">
        <v>1570</v>
      </c>
      <c r="G166" t="s">
        <v>1669</v>
      </c>
      <c r="H166" t="s">
        <v>1670</v>
      </c>
    </row>
    <row r="167" spans="1:8">
      <c r="A167" s="35" t="s">
        <v>1671</v>
      </c>
      <c r="B167" t="s">
        <v>1672</v>
      </c>
      <c r="E167">
        <v>166</v>
      </c>
      <c r="F167" t="s">
        <v>1573</v>
      </c>
      <c r="G167" t="s">
        <v>1673</v>
      </c>
      <c r="H167" t="s">
        <v>1674</v>
      </c>
    </row>
    <row r="168" spans="1:8">
      <c r="A168" s="35" t="s">
        <v>1675</v>
      </c>
      <c r="B168" t="s">
        <v>1676</v>
      </c>
      <c r="E168">
        <v>167</v>
      </c>
      <c r="F168" t="s">
        <v>1577</v>
      </c>
      <c r="G168" t="s">
        <v>1677</v>
      </c>
      <c r="H168" t="s">
        <v>1678</v>
      </c>
    </row>
    <row r="169" spans="1:8">
      <c r="A169" s="35" t="s">
        <v>1679</v>
      </c>
      <c r="B169" t="s">
        <v>1680</v>
      </c>
      <c r="E169">
        <v>168</v>
      </c>
      <c r="F169" t="s">
        <v>1581</v>
      </c>
      <c r="G169" t="s">
        <v>1681</v>
      </c>
      <c r="H169" t="s">
        <v>1682</v>
      </c>
    </row>
    <row r="170" spans="1:8">
      <c r="A170" s="35" t="s">
        <v>1683</v>
      </c>
      <c r="B170" t="s">
        <v>1684</v>
      </c>
      <c r="E170">
        <v>169</v>
      </c>
      <c r="F170" t="s">
        <v>1585</v>
      </c>
      <c r="G170" t="s">
        <v>1685</v>
      </c>
      <c r="H170" t="s">
        <v>1686</v>
      </c>
    </row>
    <row r="171" spans="1:8">
      <c r="A171" s="35" t="s">
        <v>1687</v>
      </c>
      <c r="B171" t="s">
        <v>1688</v>
      </c>
      <c r="E171">
        <v>170</v>
      </c>
      <c r="F171" t="s">
        <v>1589</v>
      </c>
      <c r="G171" t="s">
        <v>58</v>
      </c>
      <c r="H171" t="s">
        <v>1689</v>
      </c>
    </row>
    <row r="172" spans="1:8">
      <c r="A172" s="35" t="s">
        <v>1690</v>
      </c>
      <c r="B172" t="s">
        <v>1691</v>
      </c>
      <c r="E172">
        <v>171</v>
      </c>
      <c r="F172" t="s">
        <v>1602</v>
      </c>
      <c r="G172" t="s">
        <v>1692</v>
      </c>
      <c r="H172" t="s">
        <v>1693</v>
      </c>
    </row>
    <row r="173" spans="1:8">
      <c r="A173" s="35" t="s">
        <v>1694</v>
      </c>
      <c r="B173" t="s">
        <v>1695</v>
      </c>
      <c r="E173">
        <v>172</v>
      </c>
      <c r="F173" t="s">
        <v>1609</v>
      </c>
      <c r="G173" t="s">
        <v>1696</v>
      </c>
      <c r="H173" t="s">
        <v>1697</v>
      </c>
    </row>
    <row r="174" spans="1:8">
      <c r="A174" s="35" t="s">
        <v>1698</v>
      </c>
      <c r="B174" t="s">
        <v>1699</v>
      </c>
      <c r="E174">
        <v>173</v>
      </c>
      <c r="F174" t="s">
        <v>1700</v>
      </c>
      <c r="G174" t="s">
        <v>1701</v>
      </c>
      <c r="H174" t="s">
        <v>1702</v>
      </c>
    </row>
    <row r="175" spans="1:8">
      <c r="A175" s="35" t="s">
        <v>1703</v>
      </c>
      <c r="B175" t="s">
        <v>1704</v>
      </c>
      <c r="E175">
        <v>174</v>
      </c>
      <c r="F175" t="s">
        <v>1622</v>
      </c>
      <c r="G175" t="s">
        <v>1705</v>
      </c>
      <c r="H175" t="s">
        <v>1706</v>
      </c>
    </row>
    <row r="176" spans="1:8">
      <c r="A176" s="35"/>
      <c r="B176" t="s">
        <v>1707</v>
      </c>
      <c r="E176">
        <v>175</v>
      </c>
      <c r="F176" t="s">
        <v>1626</v>
      </c>
      <c r="G176" t="s">
        <v>1708</v>
      </c>
      <c r="H176" t="s">
        <v>1709</v>
      </c>
    </row>
    <row r="177" spans="1:8">
      <c r="A177" s="35"/>
      <c r="B177" t="s">
        <v>1020</v>
      </c>
      <c r="E177">
        <v>176</v>
      </c>
      <c r="F177" t="s">
        <v>1631</v>
      </c>
      <c r="G177" t="s">
        <v>1710</v>
      </c>
      <c r="H177" t="s">
        <v>1711</v>
      </c>
    </row>
    <row r="178" spans="1:8">
      <c r="A178" s="35"/>
      <c r="B178" t="s">
        <v>1029</v>
      </c>
      <c r="E178">
        <v>177</v>
      </c>
      <c r="F178" t="s">
        <v>1636</v>
      </c>
      <c r="G178" t="s">
        <v>1712</v>
      </c>
      <c r="H178" t="s">
        <v>1713</v>
      </c>
    </row>
    <row r="179" spans="1:8">
      <c r="A179" s="35"/>
      <c r="B179" t="s">
        <v>1714</v>
      </c>
      <c r="E179">
        <v>178</v>
      </c>
      <c r="F179" t="s">
        <v>1667</v>
      </c>
      <c r="G179" t="s">
        <v>1715</v>
      </c>
      <c r="H179" t="s">
        <v>1716</v>
      </c>
    </row>
    <row r="180" spans="1:8">
      <c r="A180" s="35"/>
      <c r="B180" t="s">
        <v>1717</v>
      </c>
      <c r="E180">
        <v>179</v>
      </c>
      <c r="F180" t="s">
        <v>1718</v>
      </c>
      <c r="G180" t="s">
        <v>1719</v>
      </c>
      <c r="H180" t="s">
        <v>1720</v>
      </c>
    </row>
    <row r="181" spans="1:8">
      <c r="A181" s="35"/>
      <c r="B181" t="s">
        <v>1721</v>
      </c>
      <c r="E181">
        <v>180</v>
      </c>
      <c r="F181" t="s">
        <v>1722</v>
      </c>
      <c r="G181" t="s">
        <v>1723</v>
      </c>
      <c r="H181" t="s">
        <v>1724</v>
      </c>
    </row>
    <row r="182" spans="1:8">
      <c r="A182" s="35"/>
      <c r="B182" t="s">
        <v>1725</v>
      </c>
      <c r="E182">
        <v>181</v>
      </c>
      <c r="F182" t="s">
        <v>1675</v>
      </c>
      <c r="G182" t="s">
        <v>1726</v>
      </c>
      <c r="H182" t="s">
        <v>1727</v>
      </c>
    </row>
    <row r="183" spans="1:8">
      <c r="A183" s="35"/>
      <c r="B183" t="s">
        <v>1038</v>
      </c>
      <c r="E183">
        <v>182</v>
      </c>
      <c r="F183" t="s">
        <v>1683</v>
      </c>
      <c r="G183" t="s">
        <v>1728</v>
      </c>
      <c r="H183" t="s">
        <v>1729</v>
      </c>
    </row>
    <row r="184" spans="1:8">
      <c r="A184" s="35"/>
      <c r="B184" t="s">
        <v>1730</v>
      </c>
      <c r="E184">
        <v>183</v>
      </c>
      <c r="F184" t="s">
        <v>1690</v>
      </c>
      <c r="G184" t="s">
        <v>1731</v>
      </c>
      <c r="H184" t="s">
        <v>1732</v>
      </c>
    </row>
    <row r="185" spans="1:8">
      <c r="A185" s="35"/>
      <c r="B185" t="s">
        <v>1733</v>
      </c>
      <c r="E185">
        <v>184</v>
      </c>
      <c r="F185" t="s">
        <v>1734</v>
      </c>
      <c r="G185" t="s">
        <v>1735</v>
      </c>
      <c r="H185" t="s">
        <v>1736</v>
      </c>
    </row>
    <row r="186" spans="1:8">
      <c r="A186" s="35"/>
      <c r="B186" t="s">
        <v>1737</v>
      </c>
      <c r="E186">
        <v>185</v>
      </c>
      <c r="F186" t="s">
        <v>1694</v>
      </c>
      <c r="G186" t="s">
        <v>1738</v>
      </c>
      <c r="H186" t="s">
        <v>1739</v>
      </c>
    </row>
    <row r="187" spans="1:8">
      <c r="A187" s="35"/>
      <c r="B187" t="s">
        <v>1740</v>
      </c>
      <c r="E187">
        <v>186</v>
      </c>
      <c r="F187" t="s">
        <v>1741</v>
      </c>
      <c r="G187" t="s">
        <v>1742</v>
      </c>
      <c r="H187" t="s">
        <v>1743</v>
      </c>
    </row>
    <row r="188" spans="1:8">
      <c r="A188" s="35"/>
      <c r="B188" t="s">
        <v>1744</v>
      </c>
      <c r="E188">
        <v>187</v>
      </c>
      <c r="F188" t="s">
        <v>1745</v>
      </c>
      <c r="G188" t="s">
        <v>1746</v>
      </c>
      <c r="H188" t="s">
        <v>1747</v>
      </c>
    </row>
    <row r="189" spans="1:8">
      <c r="A189" s="35"/>
      <c r="B189" t="s">
        <v>1748</v>
      </c>
      <c r="E189">
        <v>188</v>
      </c>
      <c r="F189" t="s">
        <v>1749</v>
      </c>
      <c r="G189" t="s">
        <v>1750</v>
      </c>
      <c r="H189" t="s">
        <v>1751</v>
      </c>
    </row>
    <row r="190" spans="1:8">
      <c r="A190" s="35"/>
      <c r="B190" t="s">
        <v>1752</v>
      </c>
      <c r="E190">
        <v>189</v>
      </c>
    </row>
    <row r="191" spans="1:8">
      <c r="A191" s="35"/>
      <c r="B191" t="s">
        <v>1753</v>
      </c>
      <c r="E191">
        <v>190</v>
      </c>
    </row>
    <row r="192" spans="1:8">
      <c r="A192" s="35"/>
      <c r="B192" t="s">
        <v>1754</v>
      </c>
      <c r="E192">
        <v>191</v>
      </c>
    </row>
    <row r="193" spans="1:5">
      <c r="A193" s="35"/>
      <c r="B193" t="s">
        <v>1755</v>
      </c>
      <c r="E193">
        <v>192</v>
      </c>
    </row>
    <row r="194" spans="1:5">
      <c r="A194" s="35"/>
      <c r="B194" t="s">
        <v>1048</v>
      </c>
      <c r="E194">
        <v>193</v>
      </c>
    </row>
    <row r="195" spans="1:5">
      <c r="A195" s="35"/>
      <c r="B195" t="s">
        <v>1756</v>
      </c>
      <c r="E195">
        <v>194</v>
      </c>
    </row>
    <row r="196" spans="1:5">
      <c r="A196" s="35"/>
      <c r="B196" t="s">
        <v>1757</v>
      </c>
      <c r="E196">
        <v>195</v>
      </c>
    </row>
    <row r="197" spans="1:5">
      <c r="A197" s="35"/>
      <c r="B197" t="s">
        <v>1058</v>
      </c>
      <c r="E197">
        <v>196</v>
      </c>
    </row>
    <row r="198" spans="1:5">
      <c r="A198" s="35"/>
      <c r="B198" t="s">
        <v>1758</v>
      </c>
      <c r="E198">
        <v>197</v>
      </c>
    </row>
    <row r="199" spans="1:5">
      <c r="A199" s="35"/>
      <c r="B199" t="s">
        <v>1759</v>
      </c>
      <c r="E199">
        <v>198</v>
      </c>
    </row>
    <row r="200" spans="1:5">
      <c r="A200" s="35"/>
      <c r="B200" t="s">
        <v>1068</v>
      </c>
      <c r="E200">
        <v>199</v>
      </c>
    </row>
    <row r="201" spans="1:5">
      <c r="A201" s="35"/>
      <c r="B201" t="s">
        <v>1077</v>
      </c>
      <c r="E201">
        <v>200</v>
      </c>
    </row>
    <row r="202" spans="1:5">
      <c r="A202" s="35"/>
      <c r="B202" t="s">
        <v>1760</v>
      </c>
      <c r="E202">
        <v>201</v>
      </c>
    </row>
    <row r="203" spans="1:5">
      <c r="A203" s="35"/>
      <c r="B203" t="s">
        <v>1761</v>
      </c>
      <c r="E203">
        <v>202</v>
      </c>
    </row>
    <row r="204" spans="1:5">
      <c r="A204" s="35"/>
      <c r="B204" t="s">
        <v>1762</v>
      </c>
      <c r="E204">
        <v>203</v>
      </c>
    </row>
    <row r="205" spans="1:5">
      <c r="A205" s="35"/>
      <c r="B205" t="s">
        <v>1763</v>
      </c>
      <c r="E205">
        <v>204</v>
      </c>
    </row>
    <row r="206" spans="1:5">
      <c r="A206" s="35"/>
      <c r="B206" t="s">
        <v>1764</v>
      </c>
      <c r="E206">
        <v>205</v>
      </c>
    </row>
    <row r="207" spans="1:5">
      <c r="A207" s="35"/>
      <c r="B207" t="s">
        <v>1765</v>
      </c>
      <c r="E207">
        <v>206</v>
      </c>
    </row>
    <row r="208" spans="1:5">
      <c r="A208" s="35"/>
      <c r="B208" t="s">
        <v>1766</v>
      </c>
      <c r="E208">
        <v>207</v>
      </c>
    </row>
    <row r="209" spans="1:5">
      <c r="A209" s="35"/>
      <c r="B209" t="s">
        <v>1767</v>
      </c>
      <c r="E209">
        <v>208</v>
      </c>
    </row>
    <row r="210" spans="1:5">
      <c r="A210" s="35"/>
      <c r="B210" t="s">
        <v>1097</v>
      </c>
      <c r="E210">
        <v>209</v>
      </c>
    </row>
    <row r="211" spans="1:5">
      <c r="A211" s="35"/>
      <c r="B211" t="s">
        <v>1768</v>
      </c>
      <c r="E211">
        <v>210</v>
      </c>
    </row>
    <row r="212" spans="1:5">
      <c r="A212" s="35"/>
      <c r="B212" t="s">
        <v>1769</v>
      </c>
      <c r="E212">
        <v>211</v>
      </c>
    </row>
    <row r="213" spans="1:5">
      <c r="A213" s="35"/>
      <c r="B213" t="s">
        <v>1770</v>
      </c>
      <c r="E213">
        <v>212</v>
      </c>
    </row>
    <row r="214" spans="1:5">
      <c r="A214" s="35"/>
      <c r="B214" t="s">
        <v>1771</v>
      </c>
      <c r="E214">
        <v>213</v>
      </c>
    </row>
    <row r="215" spans="1:5">
      <c r="A215" s="35"/>
      <c r="B215" t="s">
        <v>1772</v>
      </c>
      <c r="E215">
        <v>214</v>
      </c>
    </row>
    <row r="216" spans="1:5">
      <c r="A216" s="35"/>
      <c r="B216" t="s">
        <v>1773</v>
      </c>
      <c r="E216">
        <v>215</v>
      </c>
    </row>
    <row r="217" spans="1:5">
      <c r="A217" s="35"/>
      <c r="B217" t="s">
        <v>1774</v>
      </c>
      <c r="E217">
        <v>216</v>
      </c>
    </row>
    <row r="218" spans="1:5">
      <c r="A218" s="35"/>
      <c r="B218" t="s">
        <v>1775</v>
      </c>
      <c r="E218">
        <v>217</v>
      </c>
    </row>
    <row r="219" spans="1:5">
      <c r="A219" s="35"/>
      <c r="B219" t="s">
        <v>1776</v>
      </c>
      <c r="E219">
        <v>218</v>
      </c>
    </row>
    <row r="220" spans="1:5">
      <c r="A220" s="35"/>
      <c r="B220" t="s">
        <v>1107</v>
      </c>
      <c r="E220">
        <v>219</v>
      </c>
    </row>
    <row r="221" spans="1:5">
      <c r="A221" s="35"/>
      <c r="B221" t="s">
        <v>1777</v>
      </c>
      <c r="E221">
        <v>220</v>
      </c>
    </row>
    <row r="222" spans="1:5">
      <c r="A222" s="35"/>
      <c r="B222" t="s">
        <v>1556</v>
      </c>
      <c r="E222">
        <v>221</v>
      </c>
    </row>
    <row r="223" spans="1:5">
      <c r="A223" s="35"/>
      <c r="B223" t="s">
        <v>1778</v>
      </c>
      <c r="E223">
        <v>222</v>
      </c>
    </row>
    <row r="224" spans="1:5">
      <c r="A224" s="35"/>
      <c r="B224" t="s">
        <v>1117</v>
      </c>
      <c r="E224">
        <v>223</v>
      </c>
    </row>
    <row r="225" spans="1:5">
      <c r="A225" s="35"/>
      <c r="B225" t="s">
        <v>1127</v>
      </c>
      <c r="E225">
        <v>224</v>
      </c>
    </row>
    <row r="226" spans="1:5">
      <c r="A226" s="35"/>
      <c r="B226" t="s">
        <v>1779</v>
      </c>
      <c r="E226">
        <v>225</v>
      </c>
    </row>
    <row r="227" spans="1:5">
      <c r="A227" s="35"/>
      <c r="B227" t="s">
        <v>1780</v>
      </c>
      <c r="E227">
        <v>226</v>
      </c>
    </row>
    <row r="228" spans="1:5">
      <c r="A228" s="35"/>
      <c r="B228" t="s">
        <v>1781</v>
      </c>
      <c r="E228">
        <v>227</v>
      </c>
    </row>
    <row r="229" spans="1:5">
      <c r="A229" s="35"/>
      <c r="B229" t="s">
        <v>1782</v>
      </c>
      <c r="E229">
        <v>228</v>
      </c>
    </row>
    <row r="230" spans="1:5">
      <c r="A230" s="35"/>
      <c r="B230" t="s">
        <v>1783</v>
      </c>
      <c r="E230">
        <v>229</v>
      </c>
    </row>
    <row r="231" spans="1:5">
      <c r="A231" s="35"/>
      <c r="B231" t="s">
        <v>1784</v>
      </c>
      <c r="E231">
        <v>230</v>
      </c>
    </row>
    <row r="232" spans="1:5">
      <c r="A232" s="35"/>
      <c r="B232" t="s">
        <v>1087</v>
      </c>
      <c r="E232">
        <v>231</v>
      </c>
    </row>
    <row r="233" spans="1:5">
      <c r="A233" s="35"/>
      <c r="B233" t="s">
        <v>877</v>
      </c>
      <c r="E233">
        <v>232</v>
      </c>
    </row>
    <row r="234" spans="1:5">
      <c r="A234" s="35"/>
      <c r="B234" t="s">
        <v>1785</v>
      </c>
      <c r="E234">
        <v>233</v>
      </c>
    </row>
    <row r="235" spans="1:5">
      <c r="A235" s="35"/>
      <c r="B235" t="s">
        <v>1786</v>
      </c>
      <c r="E235">
        <v>234</v>
      </c>
    </row>
    <row r="236" spans="1:5">
      <c r="A236" s="35"/>
      <c r="B236" t="s">
        <v>785</v>
      </c>
      <c r="E236">
        <v>235</v>
      </c>
    </row>
    <row r="237" spans="1:5">
      <c r="A237" s="35"/>
      <c r="B237" t="s">
        <v>1787</v>
      </c>
      <c r="E237">
        <v>236</v>
      </c>
    </row>
    <row r="238" spans="1:5">
      <c r="A238" s="35"/>
      <c r="B238" t="s">
        <v>1788</v>
      </c>
      <c r="E238">
        <v>237</v>
      </c>
    </row>
    <row r="239" spans="1:5">
      <c r="A239" s="35"/>
      <c r="B239" t="s">
        <v>1789</v>
      </c>
      <c r="E239">
        <v>238</v>
      </c>
    </row>
    <row r="240" spans="1:5">
      <c r="A240" s="35"/>
      <c r="B240" t="s">
        <v>1790</v>
      </c>
      <c r="E240">
        <v>239</v>
      </c>
    </row>
    <row r="241" spans="1:5">
      <c r="A241" s="35"/>
      <c r="B241" t="s">
        <v>1135</v>
      </c>
      <c r="E241">
        <v>240</v>
      </c>
    </row>
    <row r="242" spans="1:5">
      <c r="A242" s="35"/>
      <c r="B242" t="s">
        <v>1145</v>
      </c>
      <c r="E242">
        <v>241</v>
      </c>
    </row>
    <row r="243" spans="1:5">
      <c r="A243" s="35"/>
      <c r="B243" t="s">
        <v>1791</v>
      </c>
      <c r="E243">
        <v>242</v>
      </c>
    </row>
    <row r="244" spans="1:5">
      <c r="A244" s="35"/>
      <c r="B244" t="s">
        <v>1792</v>
      </c>
      <c r="E244">
        <v>243</v>
      </c>
    </row>
    <row r="245" spans="1:5">
      <c r="B245" t="s">
        <v>1793</v>
      </c>
      <c r="E245">
        <v>244</v>
      </c>
    </row>
    <row r="246" spans="1:5">
      <c r="B246" t="s">
        <v>1794</v>
      </c>
      <c r="E246">
        <v>245</v>
      </c>
    </row>
    <row r="247" spans="1:5">
      <c r="B247" t="s">
        <v>1795</v>
      </c>
      <c r="E247">
        <v>246</v>
      </c>
    </row>
    <row r="248" spans="1:5">
      <c r="B248" t="s">
        <v>1796</v>
      </c>
      <c r="E248">
        <v>247</v>
      </c>
    </row>
    <row r="249" spans="1:5">
      <c r="B249" t="s">
        <v>1797</v>
      </c>
      <c r="E249">
        <v>248</v>
      </c>
    </row>
    <row r="250" spans="1:5">
      <c r="B250" t="s">
        <v>1798</v>
      </c>
      <c r="E250">
        <v>249</v>
      </c>
    </row>
    <row r="251" spans="1:5">
      <c r="B251" t="s">
        <v>1156</v>
      </c>
      <c r="E251">
        <v>250</v>
      </c>
    </row>
    <row r="252" spans="1:5">
      <c r="B252" t="s">
        <v>1167</v>
      </c>
      <c r="E252">
        <v>251</v>
      </c>
    </row>
    <row r="253" spans="1:5">
      <c r="B253" t="s">
        <v>1799</v>
      </c>
      <c r="E253">
        <v>252</v>
      </c>
    </row>
    <row r="254" spans="1:5">
      <c r="B254" t="s">
        <v>1800</v>
      </c>
      <c r="E254">
        <v>253</v>
      </c>
    </row>
    <row r="255" spans="1:5">
      <c r="E255">
        <v>254</v>
      </c>
    </row>
    <row r="256" spans="1:5">
      <c r="E256">
        <v>255</v>
      </c>
    </row>
    <row r="257" spans="5:5">
      <c r="E257">
        <v>256</v>
      </c>
    </row>
    <row r="258" spans="5:5">
      <c r="E258">
        <v>257</v>
      </c>
    </row>
    <row r="259" spans="5:5">
      <c r="E259">
        <v>258</v>
      </c>
    </row>
    <row r="260" spans="5:5">
      <c r="E260">
        <v>259</v>
      </c>
    </row>
    <row r="261" spans="5:5">
      <c r="E261">
        <v>260</v>
      </c>
    </row>
    <row r="262" spans="5:5">
      <c r="E262">
        <v>261</v>
      </c>
    </row>
    <row r="263" spans="5:5">
      <c r="E263">
        <v>262</v>
      </c>
    </row>
    <row r="264" spans="5:5">
      <c r="E264">
        <v>263</v>
      </c>
    </row>
    <row r="265" spans="5:5">
      <c r="E265">
        <v>264</v>
      </c>
    </row>
    <row r="266" spans="5:5">
      <c r="E266">
        <v>265</v>
      </c>
    </row>
    <row r="267" spans="5:5">
      <c r="E267">
        <v>266</v>
      </c>
    </row>
    <row r="268" spans="5:5">
      <c r="E268">
        <v>267</v>
      </c>
    </row>
    <row r="269" spans="5:5">
      <c r="E269">
        <v>268</v>
      </c>
    </row>
    <row r="270" spans="5:5">
      <c r="E270">
        <v>269</v>
      </c>
    </row>
    <row r="271" spans="5:5">
      <c r="E271">
        <v>270</v>
      </c>
    </row>
    <row r="272" spans="5:5">
      <c r="E272">
        <v>271</v>
      </c>
    </row>
    <row r="273" spans="5:5">
      <c r="E273">
        <v>272</v>
      </c>
    </row>
    <row r="274" spans="5:5">
      <c r="E274">
        <v>273</v>
      </c>
    </row>
    <row r="275" spans="5:5">
      <c r="E275">
        <v>274</v>
      </c>
    </row>
    <row r="276" spans="5:5">
      <c r="E276">
        <v>275</v>
      </c>
    </row>
    <row r="277" spans="5:5">
      <c r="E277">
        <v>276</v>
      </c>
    </row>
    <row r="278" spans="5:5">
      <c r="E278">
        <v>277</v>
      </c>
    </row>
    <row r="279" spans="5:5">
      <c r="E279">
        <v>278</v>
      </c>
    </row>
    <row r="280" spans="5:5">
      <c r="E280">
        <v>279</v>
      </c>
    </row>
    <row r="281" spans="5:5">
      <c r="E281">
        <v>280</v>
      </c>
    </row>
    <row r="282" spans="5:5">
      <c r="E282">
        <v>281</v>
      </c>
    </row>
    <row r="283" spans="5:5">
      <c r="E283">
        <v>282</v>
      </c>
    </row>
    <row r="284" spans="5:5">
      <c r="E284">
        <v>283</v>
      </c>
    </row>
    <row r="285" spans="5:5">
      <c r="E285">
        <v>284</v>
      </c>
    </row>
    <row r="286" spans="5:5">
      <c r="E286">
        <v>285</v>
      </c>
    </row>
    <row r="287" spans="5:5">
      <c r="E287">
        <v>286</v>
      </c>
    </row>
    <row r="288" spans="5:5">
      <c r="E288">
        <v>287</v>
      </c>
    </row>
    <row r="289" spans="5:5">
      <c r="E289">
        <v>288</v>
      </c>
    </row>
    <row r="290" spans="5:5">
      <c r="E290">
        <v>289</v>
      </c>
    </row>
    <row r="291" spans="5:5">
      <c r="E291">
        <v>290</v>
      </c>
    </row>
    <row r="292" spans="5:5">
      <c r="E292">
        <v>291</v>
      </c>
    </row>
    <row r="293" spans="5:5">
      <c r="E293">
        <v>292</v>
      </c>
    </row>
    <row r="294" spans="5:5">
      <c r="E294">
        <v>293</v>
      </c>
    </row>
    <row r="295" spans="5:5">
      <c r="E295">
        <v>294</v>
      </c>
    </row>
    <row r="296" spans="5:5">
      <c r="E296">
        <v>295</v>
      </c>
    </row>
    <row r="297" spans="5:5">
      <c r="E297">
        <v>296</v>
      </c>
    </row>
    <row r="298" spans="5:5">
      <c r="E298">
        <v>297</v>
      </c>
    </row>
    <row r="299" spans="5:5">
      <c r="E299">
        <v>298</v>
      </c>
    </row>
    <row r="300" spans="5:5">
      <c r="E300">
        <v>299</v>
      </c>
    </row>
    <row r="301" spans="5:5">
      <c r="E301">
        <v>300</v>
      </c>
    </row>
    <row r="302" spans="5:5">
      <c r="E302">
        <v>301</v>
      </c>
    </row>
    <row r="303" spans="5:5">
      <c r="E303">
        <v>302</v>
      </c>
    </row>
    <row r="304" spans="5:5">
      <c r="E304">
        <v>303</v>
      </c>
    </row>
    <row r="305" spans="5:5">
      <c r="E305">
        <v>304</v>
      </c>
    </row>
    <row r="306" spans="5:5">
      <c r="E306">
        <v>305</v>
      </c>
    </row>
    <row r="307" spans="5:5">
      <c r="E307">
        <v>306</v>
      </c>
    </row>
    <row r="308" spans="5:5">
      <c r="E308">
        <v>307</v>
      </c>
    </row>
    <row r="309" spans="5:5">
      <c r="E309">
        <v>308</v>
      </c>
    </row>
    <row r="310" spans="5:5">
      <c r="E310">
        <v>309</v>
      </c>
    </row>
    <row r="311" spans="5:5">
      <c r="E311">
        <v>310</v>
      </c>
    </row>
    <row r="312" spans="5:5">
      <c r="E312">
        <v>311</v>
      </c>
    </row>
    <row r="313" spans="5:5">
      <c r="E313">
        <v>312</v>
      </c>
    </row>
    <row r="314" spans="5:5">
      <c r="E314">
        <v>313</v>
      </c>
    </row>
    <row r="315" spans="5:5">
      <c r="E315">
        <v>314</v>
      </c>
    </row>
    <row r="316" spans="5:5">
      <c r="E316">
        <v>315</v>
      </c>
    </row>
    <row r="317" spans="5:5">
      <c r="E317">
        <v>316</v>
      </c>
    </row>
    <row r="318" spans="5:5">
      <c r="E318">
        <v>317</v>
      </c>
    </row>
    <row r="319" spans="5:5">
      <c r="E319">
        <v>318</v>
      </c>
    </row>
    <row r="320" spans="5:5">
      <c r="E320">
        <v>319</v>
      </c>
    </row>
    <row r="321" spans="5:5">
      <c r="E321">
        <v>320</v>
      </c>
    </row>
    <row r="322" spans="5:5">
      <c r="E322">
        <v>321</v>
      </c>
    </row>
    <row r="323" spans="5:5">
      <c r="E323">
        <v>322</v>
      </c>
    </row>
    <row r="324" spans="5:5">
      <c r="E324">
        <v>323</v>
      </c>
    </row>
    <row r="325" spans="5:5">
      <c r="E325">
        <v>324</v>
      </c>
    </row>
    <row r="326" spans="5:5">
      <c r="E326">
        <v>325</v>
      </c>
    </row>
    <row r="327" spans="5:5">
      <c r="E327">
        <v>326</v>
      </c>
    </row>
    <row r="328" spans="5:5">
      <c r="E328">
        <v>327</v>
      </c>
    </row>
    <row r="329" spans="5:5">
      <c r="E329">
        <v>328</v>
      </c>
    </row>
    <row r="330" spans="5:5">
      <c r="E330">
        <v>329</v>
      </c>
    </row>
    <row r="331" spans="5:5">
      <c r="E331">
        <v>330</v>
      </c>
    </row>
    <row r="332" spans="5:5">
      <c r="E332">
        <v>331</v>
      </c>
    </row>
    <row r="333" spans="5:5">
      <c r="E333">
        <v>332</v>
      </c>
    </row>
    <row r="334" spans="5:5">
      <c r="E334">
        <v>333</v>
      </c>
    </row>
    <row r="335" spans="5:5">
      <c r="E335">
        <v>334</v>
      </c>
    </row>
    <row r="336" spans="5:5">
      <c r="E336">
        <v>335</v>
      </c>
    </row>
    <row r="337" spans="5:5">
      <c r="E337">
        <v>336</v>
      </c>
    </row>
    <row r="338" spans="5:5">
      <c r="E338">
        <v>337</v>
      </c>
    </row>
    <row r="339" spans="5:5">
      <c r="E339">
        <v>338</v>
      </c>
    </row>
    <row r="340" spans="5:5">
      <c r="E340">
        <v>339</v>
      </c>
    </row>
    <row r="341" spans="5:5">
      <c r="E341">
        <v>340</v>
      </c>
    </row>
    <row r="342" spans="5:5">
      <c r="E342">
        <v>341</v>
      </c>
    </row>
    <row r="343" spans="5:5">
      <c r="E343">
        <v>342</v>
      </c>
    </row>
    <row r="344" spans="5:5">
      <c r="E344">
        <v>343</v>
      </c>
    </row>
    <row r="345" spans="5:5">
      <c r="E345">
        <v>344</v>
      </c>
    </row>
    <row r="346" spans="5:5">
      <c r="E346">
        <v>345</v>
      </c>
    </row>
    <row r="347" spans="5:5">
      <c r="E347">
        <v>346</v>
      </c>
    </row>
    <row r="348" spans="5:5">
      <c r="E348">
        <v>347</v>
      </c>
    </row>
    <row r="349" spans="5:5">
      <c r="E349">
        <v>348</v>
      </c>
    </row>
    <row r="350" spans="5:5">
      <c r="E350">
        <v>349</v>
      </c>
    </row>
    <row r="351" spans="5:5">
      <c r="E351">
        <v>350</v>
      </c>
    </row>
    <row r="352" spans="5:5">
      <c r="E352">
        <v>351</v>
      </c>
    </row>
    <row r="353" spans="5:5">
      <c r="E353">
        <v>352</v>
      </c>
    </row>
    <row r="354" spans="5:5">
      <c r="E354">
        <v>353</v>
      </c>
    </row>
    <row r="355" spans="5:5">
      <c r="E355">
        <v>354</v>
      </c>
    </row>
    <row r="356" spans="5:5">
      <c r="E356">
        <v>355</v>
      </c>
    </row>
    <row r="357" spans="5:5">
      <c r="E357">
        <v>356</v>
      </c>
    </row>
    <row r="358" spans="5:5">
      <c r="E358">
        <v>357</v>
      </c>
    </row>
    <row r="359" spans="5:5">
      <c r="E359">
        <v>358</v>
      </c>
    </row>
    <row r="360" spans="5:5">
      <c r="E360">
        <v>359</v>
      </c>
    </row>
    <row r="361" spans="5:5">
      <c r="E361">
        <v>360</v>
      </c>
    </row>
    <row r="362" spans="5:5">
      <c r="E362">
        <v>361</v>
      </c>
    </row>
    <row r="363" spans="5:5">
      <c r="E363">
        <v>362</v>
      </c>
    </row>
    <row r="364" spans="5:5">
      <c r="E364">
        <v>363</v>
      </c>
    </row>
    <row r="365" spans="5:5">
      <c r="E365">
        <v>364</v>
      </c>
    </row>
    <row r="366" spans="5:5">
      <c r="E366">
        <v>365</v>
      </c>
    </row>
    <row r="367" spans="5:5">
      <c r="E367">
        <v>366</v>
      </c>
    </row>
    <row r="368" spans="5:5">
      <c r="E368">
        <v>367</v>
      </c>
    </row>
    <row r="369" spans="5:5">
      <c r="E369">
        <v>368</v>
      </c>
    </row>
    <row r="370" spans="5:5">
      <c r="E370">
        <v>369</v>
      </c>
    </row>
    <row r="371" spans="5:5">
      <c r="E371">
        <v>370</v>
      </c>
    </row>
    <row r="372" spans="5:5">
      <c r="E372">
        <v>371</v>
      </c>
    </row>
    <row r="373" spans="5:5">
      <c r="E373">
        <v>372</v>
      </c>
    </row>
    <row r="374" spans="5:5">
      <c r="E374">
        <v>373</v>
      </c>
    </row>
    <row r="375" spans="5:5">
      <c r="E375">
        <v>374</v>
      </c>
    </row>
    <row r="376" spans="5:5">
      <c r="E376">
        <v>375</v>
      </c>
    </row>
    <row r="377" spans="5:5">
      <c r="E377">
        <v>376</v>
      </c>
    </row>
    <row r="378" spans="5:5">
      <c r="E378">
        <v>377</v>
      </c>
    </row>
    <row r="379" spans="5:5">
      <c r="E379">
        <v>378</v>
      </c>
    </row>
    <row r="380" spans="5:5">
      <c r="E380">
        <v>379</v>
      </c>
    </row>
    <row r="381" spans="5:5">
      <c r="E381">
        <v>380</v>
      </c>
    </row>
    <row r="382" spans="5:5">
      <c r="E382">
        <v>381</v>
      </c>
    </row>
    <row r="383" spans="5:5">
      <c r="E383">
        <v>382</v>
      </c>
    </row>
    <row r="384" spans="5:5">
      <c r="E384">
        <v>383</v>
      </c>
    </row>
    <row r="385" spans="5:5">
      <c r="E385">
        <v>384</v>
      </c>
    </row>
    <row r="386" spans="5:5">
      <c r="E386">
        <v>385</v>
      </c>
    </row>
    <row r="387" spans="5:5">
      <c r="E387">
        <v>386</v>
      </c>
    </row>
    <row r="388" spans="5:5">
      <c r="E388">
        <v>387</v>
      </c>
    </row>
    <row r="389" spans="5:5">
      <c r="E389">
        <v>388</v>
      </c>
    </row>
    <row r="390" spans="5:5">
      <c r="E390">
        <v>389</v>
      </c>
    </row>
    <row r="391" spans="5:5">
      <c r="E391">
        <v>390</v>
      </c>
    </row>
    <row r="392" spans="5:5">
      <c r="E392">
        <v>391</v>
      </c>
    </row>
    <row r="393" spans="5:5">
      <c r="E393">
        <v>392</v>
      </c>
    </row>
    <row r="394" spans="5:5">
      <c r="E394">
        <v>393</v>
      </c>
    </row>
    <row r="395" spans="5:5">
      <c r="E395">
        <v>394</v>
      </c>
    </row>
    <row r="396" spans="5:5">
      <c r="E396">
        <v>395</v>
      </c>
    </row>
    <row r="397" spans="5:5">
      <c r="E397">
        <v>396</v>
      </c>
    </row>
    <row r="398" spans="5:5">
      <c r="E398">
        <v>397</v>
      </c>
    </row>
    <row r="399" spans="5:5">
      <c r="E399">
        <v>398</v>
      </c>
    </row>
    <row r="400" spans="5:5">
      <c r="E400">
        <v>399</v>
      </c>
    </row>
    <row r="401" spans="5:5">
      <c r="E401">
        <v>400</v>
      </c>
    </row>
    <row r="402" spans="5:5">
      <c r="E402">
        <v>401</v>
      </c>
    </row>
    <row r="403" spans="5:5">
      <c r="E403">
        <v>402</v>
      </c>
    </row>
    <row r="404" spans="5:5">
      <c r="E404">
        <v>403</v>
      </c>
    </row>
    <row r="405" spans="5:5">
      <c r="E405">
        <v>404</v>
      </c>
    </row>
    <row r="406" spans="5:5">
      <c r="E406">
        <v>405</v>
      </c>
    </row>
    <row r="407" spans="5:5">
      <c r="E407">
        <v>406</v>
      </c>
    </row>
    <row r="408" spans="5:5">
      <c r="E408">
        <v>407</v>
      </c>
    </row>
    <row r="409" spans="5:5">
      <c r="E409">
        <v>408</v>
      </c>
    </row>
    <row r="410" spans="5:5">
      <c r="E410">
        <v>409</v>
      </c>
    </row>
    <row r="411" spans="5:5">
      <c r="E411">
        <v>410</v>
      </c>
    </row>
    <row r="412" spans="5:5">
      <c r="E412">
        <v>411</v>
      </c>
    </row>
    <row r="413" spans="5:5">
      <c r="E413">
        <v>412</v>
      </c>
    </row>
    <row r="414" spans="5:5">
      <c r="E414">
        <v>413</v>
      </c>
    </row>
    <row r="415" spans="5:5">
      <c r="E415">
        <v>414</v>
      </c>
    </row>
    <row r="416" spans="5:5">
      <c r="E416">
        <v>415</v>
      </c>
    </row>
    <row r="417" spans="5:5">
      <c r="E417">
        <v>416</v>
      </c>
    </row>
    <row r="418" spans="5:5">
      <c r="E418">
        <v>417</v>
      </c>
    </row>
    <row r="419" spans="5:5">
      <c r="E419">
        <v>418</v>
      </c>
    </row>
    <row r="420" spans="5:5">
      <c r="E420">
        <v>419</v>
      </c>
    </row>
    <row r="421" spans="5:5">
      <c r="E421">
        <v>420</v>
      </c>
    </row>
    <row r="422" spans="5:5">
      <c r="E422">
        <v>421</v>
      </c>
    </row>
    <row r="423" spans="5:5">
      <c r="E423">
        <v>422</v>
      </c>
    </row>
    <row r="424" spans="5:5">
      <c r="E424">
        <v>423</v>
      </c>
    </row>
    <row r="425" spans="5:5">
      <c r="E425">
        <v>424</v>
      </c>
    </row>
    <row r="426" spans="5:5">
      <c r="E426">
        <v>425</v>
      </c>
    </row>
    <row r="427" spans="5:5">
      <c r="E427">
        <v>426</v>
      </c>
    </row>
    <row r="428" spans="5:5">
      <c r="E428">
        <v>427</v>
      </c>
    </row>
    <row r="429" spans="5:5">
      <c r="E429">
        <v>428</v>
      </c>
    </row>
    <row r="430" spans="5:5">
      <c r="E430">
        <v>429</v>
      </c>
    </row>
    <row r="431" spans="5:5">
      <c r="E431">
        <v>430</v>
      </c>
    </row>
    <row r="432" spans="5:5">
      <c r="E432">
        <v>431</v>
      </c>
    </row>
    <row r="433" spans="5:5">
      <c r="E433">
        <v>432</v>
      </c>
    </row>
    <row r="434" spans="5:5">
      <c r="E434">
        <v>433</v>
      </c>
    </row>
    <row r="435" spans="5:5">
      <c r="E435">
        <v>434</v>
      </c>
    </row>
    <row r="436" spans="5:5">
      <c r="E436">
        <v>435</v>
      </c>
    </row>
    <row r="437" spans="5:5">
      <c r="E437">
        <v>436</v>
      </c>
    </row>
    <row r="438" spans="5:5">
      <c r="E438">
        <v>437</v>
      </c>
    </row>
    <row r="439" spans="5:5">
      <c r="E439">
        <v>438</v>
      </c>
    </row>
    <row r="440" spans="5:5">
      <c r="E440">
        <v>439</v>
      </c>
    </row>
    <row r="441" spans="5:5">
      <c r="E441">
        <v>440</v>
      </c>
    </row>
    <row r="442" spans="5:5">
      <c r="E442">
        <v>441</v>
      </c>
    </row>
    <row r="443" spans="5:5">
      <c r="E443">
        <v>442</v>
      </c>
    </row>
    <row r="444" spans="5:5">
      <c r="E444">
        <v>443</v>
      </c>
    </row>
    <row r="445" spans="5:5">
      <c r="E445">
        <v>444</v>
      </c>
    </row>
    <row r="446" spans="5:5">
      <c r="E446">
        <v>445</v>
      </c>
    </row>
    <row r="447" spans="5:5">
      <c r="E447">
        <v>446</v>
      </c>
    </row>
    <row r="448" spans="5:5">
      <c r="E448">
        <v>447</v>
      </c>
    </row>
    <row r="449" spans="5:5">
      <c r="E449">
        <v>448</v>
      </c>
    </row>
    <row r="450" spans="5:5">
      <c r="E450">
        <v>449</v>
      </c>
    </row>
    <row r="451" spans="5:5">
      <c r="E451">
        <v>450</v>
      </c>
    </row>
    <row r="452" spans="5:5">
      <c r="E452">
        <v>451</v>
      </c>
    </row>
    <row r="453" spans="5:5">
      <c r="E453">
        <v>452</v>
      </c>
    </row>
    <row r="454" spans="5:5">
      <c r="E454">
        <v>453</v>
      </c>
    </row>
    <row r="455" spans="5:5">
      <c r="E455">
        <v>454</v>
      </c>
    </row>
    <row r="456" spans="5:5">
      <c r="E456">
        <v>455</v>
      </c>
    </row>
    <row r="457" spans="5:5">
      <c r="E457">
        <v>456</v>
      </c>
    </row>
    <row r="458" spans="5:5">
      <c r="E458">
        <v>457</v>
      </c>
    </row>
    <row r="459" spans="5:5">
      <c r="E459">
        <v>458</v>
      </c>
    </row>
    <row r="460" spans="5:5">
      <c r="E460">
        <v>459</v>
      </c>
    </row>
    <row r="461" spans="5:5">
      <c r="E461">
        <v>460</v>
      </c>
    </row>
    <row r="462" spans="5:5">
      <c r="E462">
        <v>461</v>
      </c>
    </row>
    <row r="463" spans="5:5">
      <c r="E463">
        <v>462</v>
      </c>
    </row>
    <row r="464" spans="5:5">
      <c r="E464">
        <v>463</v>
      </c>
    </row>
    <row r="465" spans="5:5">
      <c r="E465">
        <v>464</v>
      </c>
    </row>
    <row r="466" spans="5:5">
      <c r="E466">
        <v>465</v>
      </c>
    </row>
    <row r="467" spans="5:5">
      <c r="E467">
        <v>466</v>
      </c>
    </row>
    <row r="468" spans="5:5">
      <c r="E468">
        <v>467</v>
      </c>
    </row>
    <row r="469" spans="5:5">
      <c r="E469">
        <v>468</v>
      </c>
    </row>
    <row r="470" spans="5:5">
      <c r="E470">
        <v>469</v>
      </c>
    </row>
    <row r="471" spans="5:5">
      <c r="E471">
        <v>470</v>
      </c>
    </row>
    <row r="472" spans="5:5">
      <c r="E472">
        <v>471</v>
      </c>
    </row>
    <row r="473" spans="5:5">
      <c r="E473">
        <v>472</v>
      </c>
    </row>
    <row r="474" spans="5:5">
      <c r="E474">
        <v>473</v>
      </c>
    </row>
    <row r="475" spans="5:5">
      <c r="E475">
        <v>474</v>
      </c>
    </row>
    <row r="476" spans="5:5">
      <c r="E476">
        <v>475</v>
      </c>
    </row>
    <row r="477" spans="5:5">
      <c r="E477">
        <v>476</v>
      </c>
    </row>
    <row r="478" spans="5:5">
      <c r="E478">
        <v>477</v>
      </c>
    </row>
    <row r="479" spans="5:5">
      <c r="E479">
        <v>478</v>
      </c>
    </row>
    <row r="480" spans="5:5">
      <c r="E480">
        <v>479</v>
      </c>
    </row>
    <row r="481" spans="5:5">
      <c r="E481">
        <v>480</v>
      </c>
    </row>
    <row r="482" spans="5:5">
      <c r="E482">
        <v>481</v>
      </c>
    </row>
    <row r="483" spans="5:5">
      <c r="E483">
        <v>482</v>
      </c>
    </row>
    <row r="484" spans="5:5">
      <c r="E484">
        <v>483</v>
      </c>
    </row>
    <row r="485" spans="5:5">
      <c r="E485">
        <v>484</v>
      </c>
    </row>
    <row r="486" spans="5:5">
      <c r="E486">
        <v>485</v>
      </c>
    </row>
    <row r="487" spans="5:5">
      <c r="E487">
        <v>486</v>
      </c>
    </row>
    <row r="488" spans="5:5">
      <c r="E488">
        <v>487</v>
      </c>
    </row>
    <row r="489" spans="5:5">
      <c r="E489">
        <v>488</v>
      </c>
    </row>
    <row r="490" spans="5:5">
      <c r="E490">
        <v>489</v>
      </c>
    </row>
    <row r="491" spans="5:5">
      <c r="E491">
        <v>490</v>
      </c>
    </row>
    <row r="492" spans="5:5">
      <c r="E492">
        <v>491</v>
      </c>
    </row>
    <row r="493" spans="5:5">
      <c r="E493">
        <v>492</v>
      </c>
    </row>
    <row r="494" spans="5:5">
      <c r="E494">
        <v>493</v>
      </c>
    </row>
    <row r="495" spans="5:5">
      <c r="E495">
        <v>494</v>
      </c>
    </row>
    <row r="496" spans="5:5">
      <c r="E496">
        <v>495</v>
      </c>
    </row>
    <row r="497" spans="5:5">
      <c r="E497">
        <v>496</v>
      </c>
    </row>
    <row r="498" spans="5:5">
      <c r="E498">
        <v>497</v>
      </c>
    </row>
    <row r="499" spans="5:5">
      <c r="E499">
        <v>498</v>
      </c>
    </row>
    <row r="500" spans="5:5">
      <c r="E500">
        <v>499</v>
      </c>
    </row>
    <row r="501" spans="5:5">
      <c r="E501">
        <v>500</v>
      </c>
    </row>
  </sheetData>
  <sortState xmlns:xlrd2="http://schemas.microsoft.com/office/spreadsheetml/2017/richdata2" ref="O2:Q62">
    <sortCondition ref="O2:O62"/>
  </sortState>
  <pageMargins left="0.7" right="0.7" top="0.75" bottom="0.75" header="0.3" footer="0.3"/>
  <pageSetup orientation="portrait" r:id="rId1"/>
  <headerFooter>
    <oddFooter>&amp;C&amp;1#&amp;"Arial"&amp;6&amp;K626469Internal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Main Sheet-1</vt:lpstr>
      <vt:lpstr>Cont Sheet-1 </vt:lpstr>
      <vt:lpstr>Main sheet-2</vt:lpstr>
      <vt:lpstr>Main Sheet-3</vt:lpstr>
      <vt:lpstr>Cont Sheet -3</vt:lpstr>
      <vt:lpstr>Annexure -1 </vt:lpstr>
      <vt:lpstr>Annexure -2 </vt:lpstr>
      <vt:lpstr>Validation Lists</vt:lpstr>
      <vt:lpstr>'Annexure -1 '!Print_Area</vt:lpstr>
      <vt:lpstr>'Annexure -2 '!Print_Area</vt:lpstr>
      <vt:lpstr>'Cont Sheet -3'!Print_Area</vt:lpstr>
      <vt:lpstr>'Cont Sheet-1 '!Print_Area</vt:lpstr>
      <vt:lpstr>'Main Sheet-1'!Print_Area</vt:lpstr>
      <vt:lpstr>'Main sheet-2'!Print_Area</vt:lpstr>
      <vt:lpstr>'Main Sheet-3'!Print_Area</vt:lpstr>
      <vt:lpstr>'Annexure -1 '!Print_Titles</vt:lpstr>
      <vt:lpstr>'Annexure -2 '!Print_Titles</vt:lpstr>
    </vt:vector>
  </TitlesOfParts>
  <Manager/>
  <Company>QGPC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supervisor</dc:creator>
  <cp:keywords/>
  <dc:description/>
  <cp:lastModifiedBy>Mahalinga Thiyagaraja</cp:lastModifiedBy>
  <cp:revision/>
  <cp:lastPrinted>2025-12-23T12:21:57Z</cp:lastPrinted>
  <dcterms:created xsi:type="dcterms:W3CDTF">1996-11-19T10:52:19Z</dcterms:created>
  <dcterms:modified xsi:type="dcterms:W3CDTF">2026-02-25T06:20:50Z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edaf50a-78ed-480b-a2a3-10cc196ad946_Enabled">
    <vt:lpwstr>true</vt:lpwstr>
  </property>
  <property fmtid="{D5CDD505-2E9C-101B-9397-08002B2CF9AE}" pid="3" name="MSIP_Label_2edaf50a-78ed-480b-a2a3-10cc196ad946_SetDate">
    <vt:lpwstr>2022-03-09T08:46:12Z</vt:lpwstr>
  </property>
  <property fmtid="{D5CDD505-2E9C-101B-9397-08002B2CF9AE}" pid="4" name="MSIP_Label_2edaf50a-78ed-480b-a2a3-10cc196ad946_Method">
    <vt:lpwstr>Privileged</vt:lpwstr>
  </property>
  <property fmtid="{D5CDD505-2E9C-101B-9397-08002B2CF9AE}" pid="5" name="MSIP_Label_2edaf50a-78ed-480b-a2a3-10cc196ad946_Name">
    <vt:lpwstr>C1 - CONTROLLED</vt:lpwstr>
  </property>
  <property fmtid="{D5CDD505-2E9C-101B-9397-08002B2CF9AE}" pid="6" name="MSIP_Label_2edaf50a-78ed-480b-a2a3-10cc196ad946_SiteId">
    <vt:lpwstr>22e9f6b1-8d64-4327-9344-7495608a7368</vt:lpwstr>
  </property>
  <property fmtid="{D5CDD505-2E9C-101B-9397-08002B2CF9AE}" pid="7" name="MSIP_Label_2edaf50a-78ed-480b-a2a3-10cc196ad946_ActionId">
    <vt:lpwstr>ece0492e-68ef-47d2-a80b-2780cae50de3</vt:lpwstr>
  </property>
  <property fmtid="{D5CDD505-2E9C-101B-9397-08002B2CF9AE}" pid="8" name="MSIP_Label_2edaf50a-78ed-480b-a2a3-10cc196ad946_ContentBits">
    <vt:lpwstr>1</vt:lpwstr>
  </property>
  <property fmtid="{D5CDD505-2E9C-101B-9397-08002B2CF9AE}" pid="9" name="MSIP_Label_23f93e5f-d3c2-49a7-ba94-15405423c204_Enabled">
    <vt:lpwstr>true</vt:lpwstr>
  </property>
  <property fmtid="{D5CDD505-2E9C-101B-9397-08002B2CF9AE}" pid="10" name="MSIP_Label_23f93e5f-d3c2-49a7-ba94-15405423c204_SetDate">
    <vt:lpwstr>2023-05-10T12:55:13Z</vt:lpwstr>
  </property>
  <property fmtid="{D5CDD505-2E9C-101B-9397-08002B2CF9AE}" pid="11" name="MSIP_Label_23f93e5f-d3c2-49a7-ba94-15405423c204_Method">
    <vt:lpwstr>Standard</vt:lpwstr>
  </property>
  <property fmtid="{D5CDD505-2E9C-101B-9397-08002B2CF9AE}" pid="12" name="MSIP_Label_23f93e5f-d3c2-49a7-ba94-15405423c204_Name">
    <vt:lpwstr>SE Internal</vt:lpwstr>
  </property>
  <property fmtid="{D5CDD505-2E9C-101B-9397-08002B2CF9AE}" pid="13" name="MSIP_Label_23f93e5f-d3c2-49a7-ba94-15405423c204_SiteId">
    <vt:lpwstr>6e51e1ad-c54b-4b39-b598-0ffe9ae68fef</vt:lpwstr>
  </property>
  <property fmtid="{D5CDD505-2E9C-101B-9397-08002B2CF9AE}" pid="14" name="MSIP_Label_23f93e5f-d3c2-49a7-ba94-15405423c204_ActionId">
    <vt:lpwstr>ab683bc5-835d-4f43-9850-62e40e7f1d8e</vt:lpwstr>
  </property>
  <property fmtid="{D5CDD505-2E9C-101B-9397-08002B2CF9AE}" pid="15" name="MSIP_Label_23f93e5f-d3c2-49a7-ba94-15405423c204_ContentBits">
    <vt:lpwstr>2</vt:lpwstr>
  </property>
</Properties>
</file>